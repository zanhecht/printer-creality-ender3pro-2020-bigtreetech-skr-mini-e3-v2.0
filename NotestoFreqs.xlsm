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cht\Documents\"/>
    </mc:Choice>
  </mc:AlternateContent>
  <xr:revisionPtr revIDLastSave="0" documentId="13_ncr:1_{2FAD5DCA-9DE0-46C4-99AD-5BBFB2DB81F4}" xr6:coauthVersionLast="47" xr6:coauthVersionMax="47" xr10:uidLastSave="{00000000-0000-0000-0000-000000000000}"/>
  <bookViews>
    <workbookView xWindow="28680" yWindow="-120" windowWidth="29040" windowHeight="15840" xr2:uid="{42F657E0-1E48-4E11-9FC8-445CB143C3FA}"/>
  </bookViews>
  <sheets>
    <sheet name="Data Entry" sheetId="1" r:id="rId1"/>
    <sheet name="Lookup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5" i="1"/>
  <c r="K5" i="1"/>
  <c r="K4" i="1"/>
</calcChain>
</file>

<file path=xl/sharedStrings.xml><?xml version="1.0" encoding="utf-8"?>
<sst xmlns="http://schemas.openxmlformats.org/spreadsheetml/2006/main" count="221" uniqueCount="168">
  <si>
    <t>Note</t>
  </si>
  <si>
    <t>Frequency(Hz)</t>
  </si>
  <si>
    <t>C0</t>
  </si>
  <si>
    <t>C#0</t>
  </si>
  <si>
    <t>Db0</t>
  </si>
  <si>
    <t>D0</t>
  </si>
  <si>
    <t>D#0</t>
  </si>
  <si>
    <t>Eb0</t>
  </si>
  <si>
    <t>E0</t>
  </si>
  <si>
    <t>F0</t>
  </si>
  <si>
    <t>F#0</t>
  </si>
  <si>
    <t>Gb0</t>
  </si>
  <si>
    <t>G0</t>
  </si>
  <si>
    <t>G#0</t>
  </si>
  <si>
    <t>Ab0</t>
  </si>
  <si>
    <t>A0</t>
  </si>
  <si>
    <t>A#0</t>
  </si>
  <si>
    <t>C1</t>
  </si>
  <si>
    <t>C#1</t>
  </si>
  <si>
    <t>Db1</t>
  </si>
  <si>
    <t>D1</t>
  </si>
  <si>
    <t>D#1</t>
  </si>
  <si>
    <t>Eb1</t>
  </si>
  <si>
    <t>E1</t>
  </si>
  <si>
    <t>F1</t>
  </si>
  <si>
    <t>F#1</t>
  </si>
  <si>
    <t>Gb1</t>
  </si>
  <si>
    <t>G1</t>
  </si>
  <si>
    <t>G#1</t>
  </si>
  <si>
    <t>Ab1</t>
  </si>
  <si>
    <t>A1</t>
  </si>
  <si>
    <t>A#1</t>
  </si>
  <si>
    <t>C2</t>
  </si>
  <si>
    <t>C#2</t>
  </si>
  <si>
    <t>Db2</t>
  </si>
  <si>
    <t>D2</t>
  </si>
  <si>
    <t>D#2</t>
  </si>
  <si>
    <t>Eb2</t>
  </si>
  <si>
    <t>E2</t>
  </si>
  <si>
    <t>F2</t>
  </si>
  <si>
    <t>F#2</t>
  </si>
  <si>
    <t>Gb2</t>
  </si>
  <si>
    <t>G2</t>
  </si>
  <si>
    <t>G#2</t>
  </si>
  <si>
    <t>Ab2</t>
  </si>
  <si>
    <t>A2</t>
  </si>
  <si>
    <t>A#2</t>
  </si>
  <si>
    <t>C3</t>
  </si>
  <si>
    <t>C#3</t>
  </si>
  <si>
    <t>Db3</t>
  </si>
  <si>
    <t>D3</t>
  </si>
  <si>
    <t>D#3</t>
  </si>
  <si>
    <t>Eb3</t>
  </si>
  <si>
    <t>E3</t>
  </si>
  <si>
    <t>F3</t>
  </si>
  <si>
    <t>F#3</t>
  </si>
  <si>
    <t>Gb3</t>
  </si>
  <si>
    <t>G3</t>
  </si>
  <si>
    <t>G#3</t>
  </si>
  <si>
    <t>Ab3</t>
  </si>
  <si>
    <t>A3</t>
  </si>
  <si>
    <t>A#3</t>
  </si>
  <si>
    <t>C4</t>
  </si>
  <si>
    <t>C#4</t>
  </si>
  <si>
    <t>Db4</t>
  </si>
  <si>
    <t>D4</t>
  </si>
  <si>
    <t>D#4</t>
  </si>
  <si>
    <t>Eb4</t>
  </si>
  <si>
    <t>E4</t>
  </si>
  <si>
    <t>F4</t>
  </si>
  <si>
    <t>F#4</t>
  </si>
  <si>
    <t>Gb4</t>
  </si>
  <si>
    <t>G4</t>
  </si>
  <si>
    <t>G#4</t>
  </si>
  <si>
    <t>Ab4</t>
  </si>
  <si>
    <t>A4</t>
  </si>
  <si>
    <t>A#4</t>
  </si>
  <si>
    <t>C5</t>
  </si>
  <si>
    <t>C#5</t>
  </si>
  <si>
    <t>Db5</t>
  </si>
  <si>
    <t>D5</t>
  </si>
  <si>
    <t>D#5</t>
  </si>
  <si>
    <t>Eb5</t>
  </si>
  <si>
    <t>E5</t>
  </si>
  <si>
    <t>F5</t>
  </si>
  <si>
    <t>F#5</t>
  </si>
  <si>
    <t>Gb5</t>
  </si>
  <si>
    <t>G5</t>
  </si>
  <si>
    <t>G#5</t>
  </si>
  <si>
    <t>Ab5</t>
  </si>
  <si>
    <t>A5</t>
  </si>
  <si>
    <t>A#5</t>
  </si>
  <si>
    <t>C6</t>
  </si>
  <si>
    <t>C#6</t>
  </si>
  <si>
    <t>Db6</t>
  </si>
  <si>
    <t>D6</t>
  </si>
  <si>
    <t>D#6</t>
  </si>
  <si>
    <t>Eb6</t>
  </si>
  <si>
    <t>E6</t>
  </si>
  <si>
    <t>F6</t>
  </si>
  <si>
    <t>F#6</t>
  </si>
  <si>
    <t>Gb6</t>
  </si>
  <si>
    <t>G6</t>
  </si>
  <si>
    <t>G#6</t>
  </si>
  <si>
    <t>Ab6</t>
  </si>
  <si>
    <t>A6</t>
  </si>
  <si>
    <t>A#6</t>
  </si>
  <si>
    <t>C7</t>
  </si>
  <si>
    <t>C#7</t>
  </si>
  <si>
    <t>Db7</t>
  </si>
  <si>
    <t>D7</t>
  </si>
  <si>
    <t>D#7</t>
  </si>
  <si>
    <t>Eb7</t>
  </si>
  <si>
    <t>E7</t>
  </si>
  <si>
    <t>F7</t>
  </si>
  <si>
    <t>F#7</t>
  </si>
  <si>
    <t>Gb7</t>
  </si>
  <si>
    <t>G7</t>
  </si>
  <si>
    <t>G#7</t>
  </si>
  <si>
    <t>Ab7</t>
  </si>
  <si>
    <t>A7</t>
  </si>
  <si>
    <t>A#7</t>
  </si>
  <si>
    <t>C8</t>
  </si>
  <si>
    <t>C#8</t>
  </si>
  <si>
    <t>Db8</t>
  </si>
  <si>
    <t>D8</t>
  </si>
  <si>
    <t>D#8</t>
  </si>
  <si>
    <t>Eb8</t>
  </si>
  <si>
    <t>E8</t>
  </si>
  <si>
    <t>F8</t>
  </si>
  <si>
    <t>F#8</t>
  </si>
  <si>
    <t>Gb8</t>
  </si>
  <si>
    <t>G8</t>
  </si>
  <si>
    <t>G#8</t>
  </si>
  <si>
    <t>Ab8</t>
  </si>
  <si>
    <t>A8</t>
  </si>
  <si>
    <t>A#8</t>
  </si>
  <si>
    <t>A4 Freq:</t>
  </si>
  <si>
    <t>BPM:</t>
  </si>
  <si>
    <t>Notes</t>
  </si>
  <si>
    <t>Duration</t>
  </si>
  <si>
    <t>Bb0</t>
  </si>
  <si>
    <t>B0</t>
  </si>
  <si>
    <t>Bb1</t>
  </si>
  <si>
    <t>B1</t>
  </si>
  <si>
    <t>Bb2</t>
  </si>
  <si>
    <t>B2</t>
  </si>
  <si>
    <t>Bb3</t>
  </si>
  <si>
    <t>B3</t>
  </si>
  <si>
    <t>Bb4</t>
  </si>
  <si>
    <t>B4</t>
  </si>
  <si>
    <t>Bb5</t>
  </si>
  <si>
    <t>B5</t>
  </si>
  <si>
    <t>Bb6</t>
  </si>
  <si>
    <t>B6</t>
  </si>
  <si>
    <t>Bb7</t>
  </si>
  <si>
    <t>B7</t>
  </si>
  <si>
    <t>Bb8</t>
  </si>
  <si>
    <t>B8</t>
  </si>
  <si>
    <t>Time Signature</t>
  </si>
  <si>
    <t>Top</t>
  </si>
  <si>
    <t>Bottom</t>
  </si>
  <si>
    <t>–</t>
  </si>
  <si>
    <t>Time signature is used for shading measures as you enter the notes.
Notes are entered as [Note][#/b][Octave], e.g. middle C would be C4, one half-step up would be either C#4 or Db4.
Duration is entered as a fraction, e.g. a quarter note is .25, a quarter-note triplet would be .1666 (round down for the measure counting to work).
 BPM is based on beats that are the length of the bottom note in the time signature.</t>
  </si>
  <si>
    <t>Freq</t>
  </si>
  <si>
    <t>Meas. #</t>
  </si>
  <si>
    <t>Millisecs</t>
  </si>
  <si>
    <t>^ CLICK ENABLE CONTENT TO ALLOW CALCULATION OF GCODE MACRO LINES 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</si>
</sst>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1" fontId="0" fillId="0" borderId="0" xfId="0" applyNumberFormat="1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0" xfId="0" quotePrefix="1"/>
    <xf numFmtId="0" fontId="3" fillId="0" borderId="0" xfId="0" applyFont="1"/>
    <xf numFmtId="1" fontId="3" fillId="0" borderId="0" xfId="0" applyNumberFormat="1" applyFont="1"/>
    <xf numFmtId="0" fontId="3" fillId="0" borderId="0" xfId="0" applyFont="1" applyAlignment="1">
      <alignment horizontal="right"/>
    </xf>
    <xf numFmtId="1" fontId="3" fillId="0" borderId="0" xfId="0" applyNumberFormat="1" applyFont="1" applyAlignment="1">
      <alignment horizontal="right"/>
    </xf>
    <xf numFmtId="0" fontId="4" fillId="0" borderId="0" xfId="0" applyFont="1"/>
    <xf numFmtId="0" fontId="1" fillId="3" borderId="0" xfId="0" applyFont="1" applyFill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77994-4B4E-4AC1-B018-EEA2A70BF4D6}">
  <sheetPr codeName="Sheet1"/>
  <dimension ref="A1:Q505"/>
  <sheetViews>
    <sheetView tabSelected="1" workbookViewId="0">
      <selection activeCell="M9" sqref="M9"/>
    </sheetView>
  </sheetViews>
  <sheetFormatPr defaultRowHeight="15" x14ac:dyDescent="0.25"/>
  <cols>
    <col min="1" max="1" width="9.140625" customWidth="1"/>
    <col min="9" max="9" width="9.140625" style="2"/>
  </cols>
  <sheetData>
    <row r="1" spans="1:17" x14ac:dyDescent="0.25">
      <c r="A1" s="24" t="s">
        <v>159</v>
      </c>
      <c r="B1" s="24"/>
      <c r="D1" s="1" t="s">
        <v>137</v>
      </c>
      <c r="E1">
        <v>440</v>
      </c>
      <c r="G1" s="1" t="s">
        <v>138</v>
      </c>
      <c r="H1">
        <v>120</v>
      </c>
      <c r="J1" s="25" t="s">
        <v>167</v>
      </c>
      <c r="K1" s="25"/>
      <c r="L1" s="25"/>
      <c r="M1" s="25"/>
      <c r="N1" s="25"/>
      <c r="O1" s="25"/>
      <c r="P1" s="25"/>
      <c r="Q1" s="25"/>
    </row>
    <row r="2" spans="1:17" x14ac:dyDescent="0.25">
      <c r="A2" s="3" t="s">
        <v>160</v>
      </c>
      <c r="B2" s="3" t="s">
        <v>161</v>
      </c>
    </row>
    <row r="3" spans="1:17" ht="15.75" thickBot="1" x14ac:dyDescent="0.3">
      <c r="A3">
        <v>2</v>
      </c>
      <c r="B3">
        <v>2</v>
      </c>
    </row>
    <row r="4" spans="1:17" ht="15" customHeight="1" thickBot="1" x14ac:dyDescent="0.3">
      <c r="A4" s="16" t="s">
        <v>165</v>
      </c>
      <c r="B4" s="16" t="s">
        <v>139</v>
      </c>
      <c r="C4" s="16" t="s">
        <v>140</v>
      </c>
      <c r="D4" s="17" t="s">
        <v>163</v>
      </c>
      <c r="E4" s="18"/>
      <c r="F4" s="19"/>
      <c r="H4" s="11" t="s">
        <v>164</v>
      </c>
      <c r="I4" s="12" t="s">
        <v>166</v>
      </c>
      <c r="K4" s="15" t="str">
        <f>CONCATENATE("  {% set tones     = [",Concatenatecells(H5:H504,", "),"] %}")</f>
        <v xml:space="preserve">  {% set tones     = [392.0, 493.88, 523.25, 587.33, 392.0, 329.63, 440.0, 392.0, 369.99, 329.63, 369.99, 293.66, 392.0, 392.0, 440.0, 493.88, 440.0, 493.88, 392.0, 440.0, 493.88, 440.0, 392.0, 369.99, 329.63, 369.99, 293.66, 392.0, 493.88, 523.25, 587.33, 392.0, 329.63, 440.0, 392.0, 369.99, 329.63, 369.99, 293.66, 392.0, 440.0, 493.88, 392.0, 440.0, 493.88, 440.0, 392.0, 369.99, 329.63, 369.99, 293.66, 392.0] %}</v>
      </c>
    </row>
    <row r="5" spans="1:17" x14ac:dyDescent="0.25">
      <c r="A5" s="12">
        <f>CEILING(SUM($C5:$C$5)/($A$3/$B$3),1)</f>
        <v>1</v>
      </c>
      <c r="B5" s="4" t="s">
        <v>72</v>
      </c>
      <c r="C5" s="5">
        <v>0.25</v>
      </c>
      <c r="D5" s="20"/>
      <c r="E5" s="20"/>
      <c r="F5" s="21"/>
      <c r="H5" s="13" t="str">
        <f>_xlfn.IFNA(TEXT(VLOOKUP(B5,Lookup!A2:B154,2,FALSE)*$E$1/440,"#.0#"),"")</f>
        <v>392.0</v>
      </c>
      <c r="I5" s="14" t="str">
        <f>IF(C5&gt;0,TEXT((60000*$C5*$B$3)/($H$1),"#"),"")</f>
        <v>250</v>
      </c>
      <c r="K5" s="15" t="str">
        <f>CONCATENATE("  {% set durations = [",Concatenatecells(I5:I504,", "),"] %}")</f>
        <v xml:space="preserve">  {% set durations = [250, 125, 125, 250, 250, 250, 125, 125, 125, 125, 125, 125, 250, 125, 125, 125, 125, 125, 125, 125, 125, 125, 125, 125, 125, 125, 125, 250, 125, 125, 250, 250, 250, 125, 125, 125, 125, 125, 125, 125, 125, 125, 125, 125, 125, 125, 125, 125, 125, 125, 125, 500] %}</v>
      </c>
    </row>
    <row r="6" spans="1:17" x14ac:dyDescent="0.25">
      <c r="A6" s="12">
        <f>CEILING(SUM($C$5:$C6)/($A$3/$B$3),1)</f>
        <v>1</v>
      </c>
      <c r="B6" s="6" t="s">
        <v>150</v>
      </c>
      <c r="C6" s="7">
        <v>0.125</v>
      </c>
      <c r="D6" s="20"/>
      <c r="E6" s="20"/>
      <c r="F6" s="21"/>
      <c r="H6" s="13" t="str">
        <f>_xlfn.IFNA(TEXT(VLOOKUP(B6,Lookup!A3:B155,2,FALSE)*$E$1/440,"#.0#"),"")</f>
        <v>493.88</v>
      </c>
      <c r="I6" s="14" t="str">
        <f t="shared" ref="I6:I69" si="0">IF(C6&gt;0,TEXT((60000*$C6*$B$3)/($H$1),"#"),"")</f>
        <v>125</v>
      </c>
    </row>
    <row r="7" spans="1:17" x14ac:dyDescent="0.25">
      <c r="A7" s="12">
        <f>CEILING(SUM($C$5:$C7)/($A$3/$B$3),1)</f>
        <v>1</v>
      </c>
      <c r="B7" s="6" t="s">
        <v>77</v>
      </c>
      <c r="C7" s="7">
        <v>0.125</v>
      </c>
      <c r="D7" s="20"/>
      <c r="E7" s="20"/>
      <c r="F7" s="21"/>
      <c r="H7" s="13" t="str">
        <f>_xlfn.IFNA(TEXT(VLOOKUP(B7,Lookup!A4:B156,2,FALSE)*$E$1/440,"#.0#"),"")</f>
        <v>523.25</v>
      </c>
      <c r="I7" s="14" t="str">
        <f t="shared" si="0"/>
        <v>125</v>
      </c>
    </row>
    <row r="8" spans="1:17" x14ac:dyDescent="0.25">
      <c r="A8" s="12">
        <f>CEILING(SUM($C$5:$C8)/($A$3/$B$3),1)</f>
        <v>1</v>
      </c>
      <c r="B8" s="6" t="s">
        <v>80</v>
      </c>
      <c r="C8" s="7">
        <v>0.25</v>
      </c>
      <c r="D8" s="20"/>
      <c r="E8" s="20"/>
      <c r="F8" s="21"/>
      <c r="H8" s="13" t="str">
        <f>_xlfn.IFNA(TEXT(VLOOKUP(B8,Lookup!A5:B157,2,FALSE)*$E$1/440,"#.0#"),"")</f>
        <v>587.33</v>
      </c>
      <c r="I8" s="14" t="str">
        <f t="shared" si="0"/>
        <v>250</v>
      </c>
    </row>
    <row r="9" spans="1:17" x14ac:dyDescent="0.25">
      <c r="A9" s="12">
        <f>CEILING(SUM($C$5:$C9)/($A$3/$B$3),1)</f>
        <v>1</v>
      </c>
      <c r="B9" s="6" t="s">
        <v>72</v>
      </c>
      <c r="C9" s="7">
        <v>0.25</v>
      </c>
      <c r="D9" s="20"/>
      <c r="E9" s="20"/>
      <c r="F9" s="21"/>
      <c r="H9" s="13" t="str">
        <f>_xlfn.IFNA(TEXT(VLOOKUP(B9,Lookup!A6:B158,2,FALSE)*$E$1/440,"#.0#"),"")</f>
        <v>392.0</v>
      </c>
      <c r="I9" s="14" t="str">
        <f t="shared" si="0"/>
        <v>250</v>
      </c>
    </row>
    <row r="10" spans="1:17" x14ac:dyDescent="0.25">
      <c r="A10" s="12">
        <f>CEILING(SUM($C$5:$C10)/($A$3/$B$3),1)</f>
        <v>2</v>
      </c>
      <c r="B10" s="6" t="s">
        <v>68</v>
      </c>
      <c r="C10" s="7">
        <v>0.25</v>
      </c>
      <c r="D10" s="20"/>
      <c r="E10" s="20"/>
      <c r="F10" s="21"/>
      <c r="H10" s="13" t="str">
        <f>_xlfn.IFNA(TEXT(VLOOKUP(B10,Lookup!A7:B159,2,FALSE)*$E$1/440,"#.0#"),"")</f>
        <v>329.63</v>
      </c>
      <c r="I10" s="14" t="str">
        <f t="shared" si="0"/>
        <v>250</v>
      </c>
    </row>
    <row r="11" spans="1:17" x14ac:dyDescent="0.25">
      <c r="A11" s="12">
        <f>CEILING(SUM($C$5:$C11)/($A$3/$B$3),1)</f>
        <v>2</v>
      </c>
      <c r="B11" s="6" t="s">
        <v>75</v>
      </c>
      <c r="C11" s="7">
        <v>0.125</v>
      </c>
      <c r="D11" s="20"/>
      <c r="E11" s="20"/>
      <c r="F11" s="21"/>
      <c r="H11" s="13" t="str">
        <f>_xlfn.IFNA(TEXT(VLOOKUP(B11,Lookup!A8:B160,2,FALSE)*$E$1/440,"#.0#"),"")</f>
        <v>440.0</v>
      </c>
      <c r="I11" s="14" t="str">
        <f t="shared" si="0"/>
        <v>125</v>
      </c>
    </row>
    <row r="12" spans="1:17" x14ac:dyDescent="0.25">
      <c r="A12" s="12">
        <f>CEILING(SUM($C$5:$C12)/($A$3/$B$3),1)</f>
        <v>2</v>
      </c>
      <c r="B12" s="6" t="s">
        <v>72</v>
      </c>
      <c r="C12" s="7">
        <v>0.125</v>
      </c>
      <c r="D12" s="20"/>
      <c r="E12" s="20"/>
      <c r="F12" s="21"/>
      <c r="H12" s="13" t="str">
        <f>_xlfn.IFNA(TEXT(VLOOKUP(B12,Lookup!A9:B161,2,FALSE)*$E$1/440,"#.0#"),"")</f>
        <v>392.0</v>
      </c>
      <c r="I12" s="14" t="str">
        <f t="shared" si="0"/>
        <v>125</v>
      </c>
    </row>
    <row r="13" spans="1:17" x14ac:dyDescent="0.25">
      <c r="A13" s="12">
        <f>CEILING(SUM($C$5:$C13)/($A$3/$B$3),1)</f>
        <v>2</v>
      </c>
      <c r="B13" s="6" t="s">
        <v>70</v>
      </c>
      <c r="C13" s="7">
        <v>0.125</v>
      </c>
      <c r="D13" s="20"/>
      <c r="E13" s="20"/>
      <c r="F13" s="21"/>
      <c r="H13" s="13" t="str">
        <f>_xlfn.IFNA(TEXT(VLOOKUP(B13,Lookup!A10:B162,2,FALSE)*$E$1/440,"#.0#"),"")</f>
        <v>369.99</v>
      </c>
      <c r="I13" s="14" t="str">
        <f t="shared" si="0"/>
        <v>125</v>
      </c>
    </row>
    <row r="14" spans="1:17" x14ac:dyDescent="0.25">
      <c r="A14" s="12">
        <f>CEILING(SUM($C$5:$C14)/($A$3/$B$3),1)</f>
        <v>2</v>
      </c>
      <c r="B14" s="6" t="s">
        <v>68</v>
      </c>
      <c r="C14" s="7">
        <v>0.125</v>
      </c>
      <c r="D14" s="20"/>
      <c r="E14" s="20"/>
      <c r="F14" s="21"/>
      <c r="H14" s="13" t="str">
        <f>_xlfn.IFNA(TEXT(VLOOKUP(B14,Lookup!A11:B163,2,FALSE)*$E$1/440,"#.0#"),"")</f>
        <v>329.63</v>
      </c>
      <c r="I14" s="14" t="str">
        <f t="shared" si="0"/>
        <v>125</v>
      </c>
    </row>
    <row r="15" spans="1:17" x14ac:dyDescent="0.25">
      <c r="A15" s="12">
        <f>CEILING(SUM($C$5:$C15)/($A$3/$B$3),1)</f>
        <v>2</v>
      </c>
      <c r="B15" s="6" t="s">
        <v>70</v>
      </c>
      <c r="C15" s="7">
        <v>0.125</v>
      </c>
      <c r="D15" s="20"/>
      <c r="E15" s="20"/>
      <c r="F15" s="21"/>
      <c r="H15" s="13" t="str">
        <f>_xlfn.IFNA(TEXT(VLOOKUP(B15,Lookup!A12:B164,2,FALSE)*$E$1/440,"#.0#"),"")</f>
        <v>369.99</v>
      </c>
      <c r="I15" s="14" t="str">
        <f t="shared" si="0"/>
        <v>125</v>
      </c>
    </row>
    <row r="16" spans="1:17" x14ac:dyDescent="0.25">
      <c r="A16" s="12">
        <f>CEILING(SUM($C$5:$C16)/($A$3/$B$3),1)</f>
        <v>2</v>
      </c>
      <c r="B16" s="6" t="s">
        <v>65</v>
      </c>
      <c r="C16" s="7">
        <v>0.125</v>
      </c>
      <c r="D16" s="20"/>
      <c r="E16" s="20"/>
      <c r="F16" s="21"/>
      <c r="H16" s="13" t="str">
        <f>_xlfn.IFNA(TEXT(VLOOKUP(B16,Lookup!A13:B165,2,FALSE)*$E$1/440,"#.0#"),"")</f>
        <v>293.66</v>
      </c>
      <c r="I16" s="14" t="str">
        <f t="shared" si="0"/>
        <v>125</v>
      </c>
    </row>
    <row r="17" spans="1:9" x14ac:dyDescent="0.25">
      <c r="A17" s="12">
        <f>CEILING(SUM($C$5:$C17)/($A$3/$B$3),1)</f>
        <v>3</v>
      </c>
      <c r="B17" s="6" t="s">
        <v>72</v>
      </c>
      <c r="C17" s="7">
        <v>0.25</v>
      </c>
      <c r="D17" s="20"/>
      <c r="E17" s="20"/>
      <c r="F17" s="21"/>
      <c r="H17" s="13" t="str">
        <f>_xlfn.IFNA(TEXT(VLOOKUP(B17,Lookup!A14:B166,2,FALSE)*$E$1/440,"#.0#"),"")</f>
        <v>392.0</v>
      </c>
      <c r="I17" s="14" t="str">
        <f t="shared" si="0"/>
        <v>250</v>
      </c>
    </row>
    <row r="18" spans="1:9" x14ac:dyDescent="0.25">
      <c r="A18" s="12">
        <f>CEILING(SUM($C$5:$C18)/($A$3/$B$3),1)</f>
        <v>3</v>
      </c>
      <c r="B18" s="6" t="s">
        <v>72</v>
      </c>
      <c r="C18" s="7">
        <v>0.125</v>
      </c>
      <c r="D18" s="20"/>
      <c r="E18" s="20"/>
      <c r="F18" s="21"/>
      <c r="H18" s="13" t="str">
        <f>_xlfn.IFNA(TEXT(VLOOKUP(B18,Lookup!A15:B167,2,FALSE)*$E$1/440,"#.0#"),"")</f>
        <v>392.0</v>
      </c>
      <c r="I18" s="14" t="str">
        <f t="shared" si="0"/>
        <v>125</v>
      </c>
    </row>
    <row r="19" spans="1:9" x14ac:dyDescent="0.25">
      <c r="A19" s="12">
        <f>CEILING(SUM($C$5:$C19)/($A$3/$B$3),1)</f>
        <v>3</v>
      </c>
      <c r="B19" s="6" t="s">
        <v>75</v>
      </c>
      <c r="C19" s="7">
        <v>0.125</v>
      </c>
      <c r="D19" s="20"/>
      <c r="E19" s="20"/>
      <c r="F19" s="21"/>
      <c r="H19" s="13" t="str">
        <f>_xlfn.IFNA(TEXT(VLOOKUP(B19,Lookup!A16:B168,2,FALSE)*$E$1/440,"#.0#"),"")</f>
        <v>440.0</v>
      </c>
      <c r="I19" s="14" t="str">
        <f t="shared" si="0"/>
        <v>125</v>
      </c>
    </row>
    <row r="20" spans="1:9" x14ac:dyDescent="0.25">
      <c r="A20" s="12">
        <f>CEILING(SUM($C$5:$C20)/($A$3/$B$3),1)</f>
        <v>3</v>
      </c>
      <c r="B20" s="6" t="s">
        <v>150</v>
      </c>
      <c r="C20" s="7">
        <v>0.125</v>
      </c>
      <c r="D20" s="20"/>
      <c r="E20" s="20"/>
      <c r="F20" s="21"/>
      <c r="H20" s="13" t="str">
        <f>_xlfn.IFNA(TEXT(VLOOKUP(B20,Lookup!A17:B169,2,FALSE)*$E$1/440,"#.0#"),"")</f>
        <v>493.88</v>
      </c>
      <c r="I20" s="14" t="str">
        <f t="shared" si="0"/>
        <v>125</v>
      </c>
    </row>
    <row r="21" spans="1:9" x14ac:dyDescent="0.25">
      <c r="A21" s="12">
        <f>CEILING(SUM($C$5:$C21)/($A$3/$B$3),1)</f>
        <v>3</v>
      </c>
      <c r="B21" s="6" t="s">
        <v>75</v>
      </c>
      <c r="C21" s="7">
        <v>0.125</v>
      </c>
      <c r="D21" s="20"/>
      <c r="E21" s="20"/>
      <c r="F21" s="21"/>
      <c r="H21" s="13" t="str">
        <f>_xlfn.IFNA(TEXT(VLOOKUP(B21,Lookup!A18:B170,2,FALSE)*$E$1/440,"#.0#"),"")</f>
        <v>440.0</v>
      </c>
      <c r="I21" s="14" t="str">
        <f t="shared" si="0"/>
        <v>125</v>
      </c>
    </row>
    <row r="22" spans="1:9" x14ac:dyDescent="0.25">
      <c r="A22" s="12">
        <f>CEILING(SUM($C$5:$C22)/($A$3/$B$3),1)</f>
        <v>3</v>
      </c>
      <c r="B22" s="6" t="s">
        <v>150</v>
      </c>
      <c r="C22" s="7">
        <v>0.125</v>
      </c>
      <c r="D22" s="20"/>
      <c r="E22" s="20"/>
      <c r="F22" s="21"/>
      <c r="H22" s="13" t="str">
        <f>_xlfn.IFNA(TEXT(VLOOKUP(B22,Lookup!A19:B171,2,FALSE)*$E$1/440,"#.0#"),"")</f>
        <v>493.88</v>
      </c>
      <c r="I22" s="14" t="str">
        <f t="shared" si="0"/>
        <v>125</v>
      </c>
    </row>
    <row r="23" spans="1:9" x14ac:dyDescent="0.25">
      <c r="A23" s="12">
        <f>CEILING(SUM($C$5:$C23)/($A$3/$B$3),1)</f>
        <v>3</v>
      </c>
      <c r="B23" s="6" t="s">
        <v>72</v>
      </c>
      <c r="C23" s="7">
        <v>0.125</v>
      </c>
      <c r="D23" s="20"/>
      <c r="E23" s="20"/>
      <c r="F23" s="21"/>
      <c r="H23" s="13" t="str">
        <f>_xlfn.IFNA(TEXT(VLOOKUP(B23,Lookup!A20:B172,2,FALSE)*$E$1/440,"#.0#"),"")</f>
        <v>392.0</v>
      </c>
      <c r="I23" s="14" t="str">
        <f t="shared" si="0"/>
        <v>125</v>
      </c>
    </row>
    <row r="24" spans="1:9" x14ac:dyDescent="0.25">
      <c r="A24" s="12">
        <f>CEILING(SUM($C$5:$C24)/($A$3/$B$3),1)</f>
        <v>4</v>
      </c>
      <c r="B24" s="6" t="s">
        <v>75</v>
      </c>
      <c r="C24" s="7">
        <v>0.125</v>
      </c>
      <c r="D24" s="20"/>
      <c r="E24" s="20"/>
      <c r="F24" s="21"/>
      <c r="H24" s="13" t="str">
        <f>_xlfn.IFNA(TEXT(VLOOKUP(B24,Lookup!A21:B173,2,FALSE)*$E$1/440,"#.0#"),"")</f>
        <v>440.0</v>
      </c>
      <c r="I24" s="14" t="str">
        <f t="shared" si="0"/>
        <v>125</v>
      </c>
    </row>
    <row r="25" spans="1:9" x14ac:dyDescent="0.25">
      <c r="A25" s="12">
        <f>CEILING(SUM($C$5:$C25)/($A$3/$B$3),1)</f>
        <v>4</v>
      </c>
      <c r="B25" s="6" t="s">
        <v>150</v>
      </c>
      <c r="C25" s="7">
        <v>0.125</v>
      </c>
      <c r="D25" s="20"/>
      <c r="E25" s="20"/>
      <c r="F25" s="21"/>
      <c r="H25" s="13" t="str">
        <f>_xlfn.IFNA(TEXT(VLOOKUP(B25,Lookup!A22:B174,2,FALSE)*$E$1/440,"#.0#"),"")</f>
        <v>493.88</v>
      </c>
      <c r="I25" s="14" t="str">
        <f t="shared" si="0"/>
        <v>125</v>
      </c>
    </row>
    <row r="26" spans="1:9" x14ac:dyDescent="0.25">
      <c r="A26" s="12">
        <f>CEILING(SUM($C$5:$C26)/($A$3/$B$3),1)</f>
        <v>4</v>
      </c>
      <c r="B26" s="6" t="s">
        <v>75</v>
      </c>
      <c r="C26" s="7">
        <v>0.125</v>
      </c>
      <c r="D26" s="20"/>
      <c r="E26" s="20"/>
      <c r="F26" s="21"/>
      <c r="H26" s="13" t="str">
        <f>_xlfn.IFNA(TEXT(VLOOKUP(B26,Lookup!A23:B175,2,FALSE)*$E$1/440,"#.0#"),"")</f>
        <v>440.0</v>
      </c>
      <c r="I26" s="14" t="str">
        <f t="shared" si="0"/>
        <v>125</v>
      </c>
    </row>
    <row r="27" spans="1:9" ht="15.75" thickBot="1" x14ac:dyDescent="0.3">
      <c r="A27" s="12">
        <f>CEILING(SUM($C$5:$C27)/($A$3/$B$3),1)</f>
        <v>4</v>
      </c>
      <c r="B27" s="6" t="s">
        <v>72</v>
      </c>
      <c r="C27" s="7">
        <v>0.125</v>
      </c>
      <c r="D27" s="22"/>
      <c r="E27" s="22"/>
      <c r="F27" s="23"/>
      <c r="H27" s="13" t="str">
        <f>_xlfn.IFNA(TEXT(VLOOKUP(B27,Lookup!A24:B176,2,FALSE)*$E$1/440,"#.0#"),"")</f>
        <v>392.0</v>
      </c>
      <c r="I27" s="14" t="str">
        <f t="shared" si="0"/>
        <v>125</v>
      </c>
    </row>
    <row r="28" spans="1:9" x14ac:dyDescent="0.25">
      <c r="A28" s="12">
        <f>CEILING(SUM($C$5:$C28)/($A$3/$B$3),1)</f>
        <v>4</v>
      </c>
      <c r="B28" s="6" t="s">
        <v>70</v>
      </c>
      <c r="C28" s="7">
        <v>0.125</v>
      </c>
      <c r="H28" s="13" t="str">
        <f>_xlfn.IFNA(TEXT(VLOOKUP(B28,Lookup!A25:B177,2,FALSE)*$E$1/440,"#.0#"),"")</f>
        <v>369.99</v>
      </c>
      <c r="I28" s="14" t="str">
        <f t="shared" si="0"/>
        <v>125</v>
      </c>
    </row>
    <row r="29" spans="1:9" x14ac:dyDescent="0.25">
      <c r="A29" s="12">
        <f>CEILING(SUM($C$5:$C29)/($A$3/$B$3),1)</f>
        <v>4</v>
      </c>
      <c r="B29" s="6" t="s">
        <v>68</v>
      </c>
      <c r="C29" s="7">
        <v>0.125</v>
      </c>
      <c r="H29" s="13" t="str">
        <f>_xlfn.IFNA(TEXT(VLOOKUP(B29,Lookup!A26:B178,2,FALSE)*$E$1/440,"#.0#"),"")</f>
        <v>329.63</v>
      </c>
      <c r="I29" s="14" t="str">
        <f t="shared" si="0"/>
        <v>125</v>
      </c>
    </row>
    <row r="30" spans="1:9" x14ac:dyDescent="0.25">
      <c r="A30" s="12">
        <f>CEILING(SUM($C$5:$C30)/($A$3/$B$3),1)</f>
        <v>4</v>
      </c>
      <c r="B30" s="6" t="s">
        <v>70</v>
      </c>
      <c r="C30" s="7">
        <v>0.125</v>
      </c>
      <c r="H30" s="13" t="str">
        <f>_xlfn.IFNA(TEXT(VLOOKUP(B30,Lookup!A27:B179,2,FALSE)*$E$1/440,"#.0#"),"")</f>
        <v>369.99</v>
      </c>
      <c r="I30" s="14" t="str">
        <f t="shared" si="0"/>
        <v>125</v>
      </c>
    </row>
    <row r="31" spans="1:9" x14ac:dyDescent="0.25">
      <c r="A31" s="12">
        <f>CEILING(SUM($C$5:$C31)/($A$3/$B$3),1)</f>
        <v>4</v>
      </c>
      <c r="B31" s="6" t="s">
        <v>65</v>
      </c>
      <c r="C31" s="7">
        <v>0.125</v>
      </c>
      <c r="H31" s="13" t="str">
        <f>_xlfn.IFNA(TEXT(VLOOKUP(B31,Lookup!A28:B180,2,FALSE)*$E$1/440,"#.0#"),"")</f>
        <v>293.66</v>
      </c>
      <c r="I31" s="14" t="str">
        <f t="shared" si="0"/>
        <v>125</v>
      </c>
    </row>
    <row r="32" spans="1:9" x14ac:dyDescent="0.25">
      <c r="A32" s="12">
        <f>CEILING(SUM($C$5:$C32)/($A$3/$B$3),1)</f>
        <v>5</v>
      </c>
      <c r="B32" s="6" t="s">
        <v>72</v>
      </c>
      <c r="C32" s="7">
        <v>0.25</v>
      </c>
      <c r="H32" s="13" t="str">
        <f>_xlfn.IFNA(TEXT(VLOOKUP(B32,Lookup!A29:B181,2,FALSE)*$E$1/440,"#.0#"),"")</f>
        <v>392.0</v>
      </c>
      <c r="I32" s="14" t="str">
        <f t="shared" si="0"/>
        <v>250</v>
      </c>
    </row>
    <row r="33" spans="1:9" x14ac:dyDescent="0.25">
      <c r="A33" s="12">
        <f>CEILING(SUM($C$5:$C33)/($A$3/$B$3),1)</f>
        <v>5</v>
      </c>
      <c r="B33" s="6" t="s">
        <v>150</v>
      </c>
      <c r="C33" s="7">
        <v>0.125</v>
      </c>
      <c r="H33" s="13" t="str">
        <f>_xlfn.IFNA(TEXT(VLOOKUP(B33,Lookup!A30:B182,2,FALSE)*$E$1/440,"#.0#"),"")</f>
        <v>493.88</v>
      </c>
      <c r="I33" s="14" t="str">
        <f t="shared" si="0"/>
        <v>125</v>
      </c>
    </row>
    <row r="34" spans="1:9" x14ac:dyDescent="0.25">
      <c r="A34" s="12">
        <f>CEILING(SUM($C$5:$C34)/($A$3/$B$3),1)</f>
        <v>5</v>
      </c>
      <c r="B34" s="6" t="s">
        <v>77</v>
      </c>
      <c r="C34" s="7">
        <v>0.125</v>
      </c>
      <c r="H34" s="13" t="str">
        <f>_xlfn.IFNA(TEXT(VLOOKUP(B34,Lookup!A31:B183,2,FALSE)*$E$1/440,"#.0#"),"")</f>
        <v>523.25</v>
      </c>
      <c r="I34" s="14" t="str">
        <f t="shared" si="0"/>
        <v>125</v>
      </c>
    </row>
    <row r="35" spans="1:9" x14ac:dyDescent="0.25">
      <c r="A35" s="12">
        <f>CEILING(SUM($C$5:$C35)/($A$3/$B$3),1)</f>
        <v>5</v>
      </c>
      <c r="B35" s="6" t="s">
        <v>80</v>
      </c>
      <c r="C35" s="7">
        <v>0.25</v>
      </c>
      <c r="H35" s="13" t="str">
        <f>_xlfn.IFNA(TEXT(VLOOKUP(B35,Lookup!A32:B184,2,FALSE)*$E$1/440,"#.0#"),"")</f>
        <v>587.33</v>
      </c>
      <c r="I35" s="14" t="str">
        <f t="shared" si="0"/>
        <v>250</v>
      </c>
    </row>
    <row r="36" spans="1:9" x14ac:dyDescent="0.25">
      <c r="A36" s="12">
        <f>CEILING(SUM($C$5:$C36)/($A$3/$B$3),1)</f>
        <v>5</v>
      </c>
      <c r="B36" s="6" t="s">
        <v>72</v>
      </c>
      <c r="C36" s="7">
        <v>0.25</v>
      </c>
      <c r="H36" s="13" t="str">
        <f>_xlfn.IFNA(TEXT(VLOOKUP(B36,Lookup!A33:B185,2,FALSE)*$E$1/440,"#.0#"),"")</f>
        <v>392.0</v>
      </c>
      <c r="I36" s="14" t="str">
        <f t="shared" si="0"/>
        <v>250</v>
      </c>
    </row>
    <row r="37" spans="1:9" x14ac:dyDescent="0.25">
      <c r="A37" s="12">
        <f>CEILING(SUM($C$5:$C37)/($A$3/$B$3),1)</f>
        <v>6</v>
      </c>
      <c r="B37" s="6" t="s">
        <v>68</v>
      </c>
      <c r="C37" s="7">
        <v>0.25</v>
      </c>
      <c r="H37" s="13" t="str">
        <f>_xlfn.IFNA(TEXT(VLOOKUP(B37,Lookup!A34:B186,2,FALSE)*$E$1/440,"#.0#"),"")</f>
        <v>329.63</v>
      </c>
      <c r="I37" s="14" t="str">
        <f t="shared" si="0"/>
        <v>250</v>
      </c>
    </row>
    <row r="38" spans="1:9" x14ac:dyDescent="0.25">
      <c r="A38" s="12">
        <f>CEILING(SUM($C$5:$C38)/($A$3/$B$3),1)</f>
        <v>6</v>
      </c>
      <c r="B38" s="6" t="s">
        <v>75</v>
      </c>
      <c r="C38" s="7">
        <v>0.125</v>
      </c>
      <c r="H38" s="13" t="str">
        <f>_xlfn.IFNA(TEXT(VLOOKUP(B38,Lookup!A35:B187,2,FALSE)*$E$1/440,"#.0#"),"")</f>
        <v>440.0</v>
      </c>
      <c r="I38" s="14" t="str">
        <f t="shared" si="0"/>
        <v>125</v>
      </c>
    </row>
    <row r="39" spans="1:9" x14ac:dyDescent="0.25">
      <c r="A39" s="12">
        <f>CEILING(SUM($C$5:$C39)/($A$3/$B$3),1)</f>
        <v>6</v>
      </c>
      <c r="B39" s="6" t="s">
        <v>72</v>
      </c>
      <c r="C39" s="7">
        <v>0.125</v>
      </c>
      <c r="H39" s="13" t="str">
        <f>_xlfn.IFNA(TEXT(VLOOKUP(B39,Lookup!A36:B188,2,FALSE)*$E$1/440,"#.0#"),"")</f>
        <v>392.0</v>
      </c>
      <c r="I39" s="14" t="str">
        <f t="shared" si="0"/>
        <v>125</v>
      </c>
    </row>
    <row r="40" spans="1:9" x14ac:dyDescent="0.25">
      <c r="A40" s="12">
        <f>CEILING(SUM($C$5:$C40)/($A$3/$B$3),1)</f>
        <v>6</v>
      </c>
      <c r="B40" s="6" t="s">
        <v>70</v>
      </c>
      <c r="C40" s="7">
        <v>0.125</v>
      </c>
      <c r="H40" s="13" t="str">
        <f>_xlfn.IFNA(TEXT(VLOOKUP(B40,Lookup!A37:B189,2,FALSE)*$E$1/440,"#.0#"),"")</f>
        <v>369.99</v>
      </c>
      <c r="I40" s="14" t="str">
        <f t="shared" si="0"/>
        <v>125</v>
      </c>
    </row>
    <row r="41" spans="1:9" x14ac:dyDescent="0.25">
      <c r="A41" s="12">
        <f>CEILING(SUM($C$5:$C41)/($A$3/$B$3),1)</f>
        <v>6</v>
      </c>
      <c r="B41" s="6" t="s">
        <v>68</v>
      </c>
      <c r="C41" s="7">
        <v>0.125</v>
      </c>
      <c r="H41" s="13" t="str">
        <f>_xlfn.IFNA(TEXT(VLOOKUP(B41,Lookup!A38:B190,2,FALSE)*$E$1/440,"#.0#"),"")</f>
        <v>329.63</v>
      </c>
      <c r="I41" s="14" t="str">
        <f t="shared" si="0"/>
        <v>125</v>
      </c>
    </row>
    <row r="42" spans="1:9" x14ac:dyDescent="0.25">
      <c r="A42" s="12">
        <f>CEILING(SUM($C$5:$C42)/($A$3/$B$3),1)</f>
        <v>6</v>
      </c>
      <c r="B42" s="6" t="s">
        <v>70</v>
      </c>
      <c r="C42" s="7">
        <v>0.125</v>
      </c>
      <c r="H42" s="13" t="str">
        <f>_xlfn.IFNA(TEXT(VLOOKUP(B42,Lookup!A39:B191,2,FALSE)*$E$1/440,"#.0#"),"")</f>
        <v>369.99</v>
      </c>
      <c r="I42" s="14" t="str">
        <f t="shared" si="0"/>
        <v>125</v>
      </c>
    </row>
    <row r="43" spans="1:9" x14ac:dyDescent="0.25">
      <c r="A43" s="12">
        <f>CEILING(SUM($C$5:$C43)/($A$3/$B$3),1)</f>
        <v>6</v>
      </c>
      <c r="B43" s="6" t="s">
        <v>65</v>
      </c>
      <c r="C43" s="7">
        <v>0.125</v>
      </c>
      <c r="H43" s="13" t="str">
        <f>_xlfn.IFNA(TEXT(VLOOKUP(B43,Lookup!A40:B192,2,FALSE)*$E$1/440,"#.0#"),"")</f>
        <v>293.66</v>
      </c>
      <c r="I43" s="14" t="str">
        <f t="shared" si="0"/>
        <v>125</v>
      </c>
    </row>
    <row r="44" spans="1:9" x14ac:dyDescent="0.25">
      <c r="A44" s="12">
        <f>CEILING(SUM($C$5:$C44)/($A$3/$B$3),1)</f>
        <v>7</v>
      </c>
      <c r="B44" s="6" t="s">
        <v>72</v>
      </c>
      <c r="C44" s="7">
        <v>0.125</v>
      </c>
      <c r="H44" s="13" t="str">
        <f>_xlfn.IFNA(TEXT(VLOOKUP(B44,Lookup!A41:B193,2,FALSE)*$E$1/440,"#.0#"),"")</f>
        <v>392.0</v>
      </c>
      <c r="I44" s="14" t="str">
        <f t="shared" si="0"/>
        <v>125</v>
      </c>
    </row>
    <row r="45" spans="1:9" x14ac:dyDescent="0.25">
      <c r="A45" s="12">
        <f>CEILING(SUM($C$5:$C45)/($A$3/$B$3),1)</f>
        <v>7</v>
      </c>
      <c r="B45" s="6" t="s">
        <v>75</v>
      </c>
      <c r="C45" s="7">
        <v>0.125</v>
      </c>
      <c r="H45" s="13" t="str">
        <f>_xlfn.IFNA(TEXT(VLOOKUP(B45,Lookup!A42:B194,2,FALSE)*$E$1/440,"#.0#"),"")</f>
        <v>440.0</v>
      </c>
      <c r="I45" s="14" t="str">
        <f t="shared" si="0"/>
        <v>125</v>
      </c>
    </row>
    <row r="46" spans="1:9" x14ac:dyDescent="0.25">
      <c r="A46" s="12">
        <f>CEILING(SUM($C$5:$C46)/($A$3/$B$3),1)</f>
        <v>7</v>
      </c>
      <c r="B46" s="6" t="s">
        <v>150</v>
      </c>
      <c r="C46" s="7">
        <v>0.125</v>
      </c>
      <c r="H46" s="13" t="str">
        <f>_xlfn.IFNA(TEXT(VLOOKUP(B46,Lookup!A43:B195,2,FALSE)*$E$1/440,"#.0#"),"")</f>
        <v>493.88</v>
      </c>
      <c r="I46" s="14" t="str">
        <f t="shared" si="0"/>
        <v>125</v>
      </c>
    </row>
    <row r="47" spans="1:9" x14ac:dyDescent="0.25">
      <c r="A47" s="12">
        <f>CEILING(SUM($C$5:$C47)/($A$3/$B$3),1)</f>
        <v>7</v>
      </c>
      <c r="B47" s="6" t="s">
        <v>72</v>
      </c>
      <c r="C47" s="7">
        <v>0.125</v>
      </c>
      <c r="H47" s="13" t="str">
        <f>_xlfn.IFNA(TEXT(VLOOKUP(B47,Lookup!A44:B196,2,FALSE)*$E$1/440,"#.0#"),"")</f>
        <v>392.0</v>
      </c>
      <c r="I47" s="14" t="str">
        <f t="shared" si="0"/>
        <v>125</v>
      </c>
    </row>
    <row r="48" spans="1:9" x14ac:dyDescent="0.25">
      <c r="A48" s="12">
        <f>CEILING(SUM($C$5:$C48)/($A$3/$B$3),1)</f>
        <v>7</v>
      </c>
      <c r="B48" s="6" t="s">
        <v>75</v>
      </c>
      <c r="C48" s="7">
        <v>0.125</v>
      </c>
      <c r="H48" s="13" t="str">
        <f>_xlfn.IFNA(TEXT(VLOOKUP(B48,Lookup!A45:B197,2,FALSE)*$E$1/440,"#.0#"),"")</f>
        <v>440.0</v>
      </c>
      <c r="I48" s="14" t="str">
        <f t="shared" si="0"/>
        <v>125</v>
      </c>
    </row>
    <row r="49" spans="1:9" x14ac:dyDescent="0.25">
      <c r="A49" s="12">
        <f>CEILING(SUM($C$5:$C49)/($A$3/$B$3),1)</f>
        <v>7</v>
      </c>
      <c r="B49" s="6" t="s">
        <v>150</v>
      </c>
      <c r="C49" s="7">
        <v>0.125</v>
      </c>
      <c r="H49" s="13" t="str">
        <f>_xlfn.IFNA(TEXT(VLOOKUP(B49,Lookup!A46:B198,2,FALSE)*$E$1/440,"#.0#"),"")</f>
        <v>493.88</v>
      </c>
      <c r="I49" s="14" t="str">
        <f t="shared" si="0"/>
        <v>125</v>
      </c>
    </row>
    <row r="50" spans="1:9" x14ac:dyDescent="0.25">
      <c r="A50" s="12">
        <f>CEILING(SUM($C$5:$C50)/($A$3/$B$3),1)</f>
        <v>7</v>
      </c>
      <c r="B50" s="6" t="s">
        <v>75</v>
      </c>
      <c r="C50" s="7">
        <v>0.125</v>
      </c>
      <c r="H50" s="13" t="str">
        <f>_xlfn.IFNA(TEXT(VLOOKUP(B50,Lookup!A47:B199,2,FALSE)*$E$1/440,"#.0#"),"")</f>
        <v>440.0</v>
      </c>
      <c r="I50" s="14" t="str">
        <f t="shared" si="0"/>
        <v>125</v>
      </c>
    </row>
    <row r="51" spans="1:9" x14ac:dyDescent="0.25">
      <c r="A51" s="12">
        <f>CEILING(SUM($C$5:$C51)/($A$3/$B$3),1)</f>
        <v>7</v>
      </c>
      <c r="B51" s="6" t="s">
        <v>72</v>
      </c>
      <c r="C51" s="7">
        <v>0.125</v>
      </c>
      <c r="H51" s="13" t="str">
        <f>_xlfn.IFNA(TEXT(VLOOKUP(B51,Lookup!A48:B200,2,FALSE)*$E$1/440,"#.0#"),"")</f>
        <v>392.0</v>
      </c>
      <c r="I51" s="14" t="str">
        <f t="shared" si="0"/>
        <v>125</v>
      </c>
    </row>
    <row r="52" spans="1:9" x14ac:dyDescent="0.25">
      <c r="A52" s="12">
        <f>CEILING(SUM($C$5:$C52)/($A$3/$B$3),1)</f>
        <v>8</v>
      </c>
      <c r="B52" s="6" t="s">
        <v>70</v>
      </c>
      <c r="C52" s="7">
        <v>0.125</v>
      </c>
      <c r="H52" s="13" t="str">
        <f>_xlfn.IFNA(TEXT(VLOOKUP(B52,Lookup!A49:B201,2,FALSE)*$E$1/440,"#.0#"),"")</f>
        <v>369.99</v>
      </c>
      <c r="I52" s="14" t="str">
        <f t="shared" si="0"/>
        <v>125</v>
      </c>
    </row>
    <row r="53" spans="1:9" x14ac:dyDescent="0.25">
      <c r="A53" s="12">
        <f>CEILING(SUM($C$5:$C53)/($A$3/$B$3),1)</f>
        <v>8</v>
      </c>
      <c r="B53" s="6" t="s">
        <v>68</v>
      </c>
      <c r="C53" s="7">
        <v>0.125</v>
      </c>
      <c r="H53" s="13" t="str">
        <f>_xlfn.IFNA(TEXT(VLOOKUP(B53,Lookup!A50:B202,2,FALSE)*$E$1/440,"#.0#"),"")</f>
        <v>329.63</v>
      </c>
      <c r="I53" s="14" t="str">
        <f t="shared" si="0"/>
        <v>125</v>
      </c>
    </row>
    <row r="54" spans="1:9" x14ac:dyDescent="0.25">
      <c r="A54" s="12">
        <f>CEILING(SUM($C$5:$C54)/($A$3/$B$3),1)</f>
        <v>8</v>
      </c>
      <c r="B54" s="6" t="s">
        <v>70</v>
      </c>
      <c r="C54" s="7">
        <v>0.125</v>
      </c>
      <c r="H54" s="13" t="str">
        <f>_xlfn.IFNA(TEXT(VLOOKUP(B54,Lookup!A51:B203,2,FALSE)*$E$1/440,"#.0#"),"")</f>
        <v>369.99</v>
      </c>
      <c r="I54" s="14" t="str">
        <f t="shared" si="0"/>
        <v>125</v>
      </c>
    </row>
    <row r="55" spans="1:9" x14ac:dyDescent="0.25">
      <c r="A55" s="12">
        <f>CEILING(SUM($C$5:$C55)/($A$3/$B$3),1)</f>
        <v>8</v>
      </c>
      <c r="B55" s="6" t="s">
        <v>65</v>
      </c>
      <c r="C55" s="7">
        <v>0.125</v>
      </c>
      <c r="H55" s="13" t="str">
        <f>_xlfn.IFNA(TEXT(VLOOKUP(B55,Lookup!A52:B204,2,FALSE)*$E$1/440,"#.0#"),"")</f>
        <v>293.66</v>
      </c>
      <c r="I55" s="14" t="str">
        <f t="shared" si="0"/>
        <v>125</v>
      </c>
    </row>
    <row r="56" spans="1:9" x14ac:dyDescent="0.25">
      <c r="A56" s="12">
        <f>CEILING(SUM($C$5:$C56)/($A$3/$B$3),1)</f>
        <v>8</v>
      </c>
      <c r="B56" s="6" t="s">
        <v>72</v>
      </c>
      <c r="C56" s="7">
        <v>0.5</v>
      </c>
      <c r="H56" s="13" t="str">
        <f>_xlfn.IFNA(TEXT(VLOOKUP(B56,Lookup!A53:B205,2,FALSE)*$E$1/440,"#.0#"),"")</f>
        <v>392.0</v>
      </c>
      <c r="I56" s="14" t="str">
        <f t="shared" si="0"/>
        <v>500</v>
      </c>
    </row>
    <row r="57" spans="1:9" x14ac:dyDescent="0.25">
      <c r="A57" s="12">
        <f>CEILING(SUM($C$5:$C57)/($A$3/$B$3),1)</f>
        <v>8</v>
      </c>
      <c r="B57" s="6"/>
      <c r="C57" s="7"/>
      <c r="H57" s="13" t="str">
        <f>_xlfn.IFNA(TEXT(VLOOKUP(B57,Lookup!A54:B206,2,FALSE)*$E$1/440,"#.0#"),"")</f>
        <v/>
      </c>
      <c r="I57" s="14" t="str">
        <f t="shared" si="0"/>
        <v/>
      </c>
    </row>
    <row r="58" spans="1:9" x14ac:dyDescent="0.25">
      <c r="A58" s="12">
        <f>CEILING(SUM($C$5:$C58)/($A$3/$B$3),1)</f>
        <v>8</v>
      </c>
      <c r="B58" s="6"/>
      <c r="C58" s="7"/>
      <c r="H58" s="13" t="str">
        <f>_xlfn.IFNA(TEXT(VLOOKUP(B58,Lookup!A55:B207,2,FALSE)*$E$1/440,"#.0#"),"")</f>
        <v/>
      </c>
      <c r="I58" s="14" t="str">
        <f t="shared" si="0"/>
        <v/>
      </c>
    </row>
    <row r="59" spans="1:9" x14ac:dyDescent="0.25">
      <c r="A59" s="12">
        <f>CEILING(SUM($C$5:$C59)/($A$3/$B$3),1)</f>
        <v>8</v>
      </c>
      <c r="B59" s="6"/>
      <c r="C59" s="7"/>
      <c r="H59" s="13" t="str">
        <f>_xlfn.IFNA(TEXT(VLOOKUP(B59,Lookup!A56:B208,2,FALSE)*$E$1/440,"#.0#"),"")</f>
        <v/>
      </c>
      <c r="I59" s="14" t="str">
        <f t="shared" si="0"/>
        <v/>
      </c>
    </row>
    <row r="60" spans="1:9" x14ac:dyDescent="0.25">
      <c r="A60" s="12">
        <f>CEILING(SUM($C$5:$C60)/($A$3/$B$3),1)</f>
        <v>8</v>
      </c>
      <c r="B60" s="6"/>
      <c r="C60" s="7"/>
      <c r="H60" s="13" t="str">
        <f>_xlfn.IFNA(TEXT(VLOOKUP(B60,Lookup!A57:B209,2,FALSE)*$E$1/440,"#.0#"),"")</f>
        <v/>
      </c>
      <c r="I60" s="14" t="str">
        <f t="shared" si="0"/>
        <v/>
      </c>
    </row>
    <row r="61" spans="1:9" x14ac:dyDescent="0.25">
      <c r="A61" s="12">
        <f>CEILING(SUM($C$5:$C61)/($A$3/$B$3),1)</f>
        <v>8</v>
      </c>
      <c r="B61" s="6"/>
      <c r="C61" s="7"/>
      <c r="H61" s="13" t="str">
        <f>_xlfn.IFNA(TEXT(VLOOKUP(B61,Lookup!A58:B210,2,FALSE)*$E$1/440,"#.0#"),"")</f>
        <v/>
      </c>
      <c r="I61" s="14" t="str">
        <f t="shared" si="0"/>
        <v/>
      </c>
    </row>
    <row r="62" spans="1:9" x14ac:dyDescent="0.25">
      <c r="A62" s="12">
        <f>CEILING(SUM($C$5:$C62)/($A$3/$B$3),1)</f>
        <v>8</v>
      </c>
      <c r="B62" s="6"/>
      <c r="C62" s="7"/>
      <c r="H62" s="13" t="str">
        <f>_xlfn.IFNA(TEXT(VLOOKUP(B62,Lookup!A59:B211,2,FALSE)*$E$1/440,"#.0#"),"")</f>
        <v/>
      </c>
      <c r="I62" s="14" t="str">
        <f t="shared" si="0"/>
        <v/>
      </c>
    </row>
    <row r="63" spans="1:9" x14ac:dyDescent="0.25">
      <c r="A63" s="12">
        <f>CEILING(SUM($C$5:$C63)/($A$3/$B$3),1)</f>
        <v>8</v>
      </c>
      <c r="B63" s="6"/>
      <c r="C63" s="7"/>
      <c r="H63" s="13" t="str">
        <f>_xlfn.IFNA(TEXT(VLOOKUP(B63,Lookup!A60:B212,2,FALSE)*$E$1/440,"#.0#"),"")</f>
        <v/>
      </c>
      <c r="I63" s="14" t="str">
        <f t="shared" si="0"/>
        <v/>
      </c>
    </row>
    <row r="64" spans="1:9" x14ac:dyDescent="0.25">
      <c r="A64" s="12">
        <f>CEILING(SUM($C$5:$C64)/($A$3/$B$3),1)</f>
        <v>8</v>
      </c>
      <c r="B64" s="6"/>
      <c r="C64" s="7"/>
      <c r="H64" s="13" t="str">
        <f>_xlfn.IFNA(TEXT(VLOOKUP(B64,Lookup!A61:B213,2,FALSE)*$E$1/440,"#.0#"),"")</f>
        <v/>
      </c>
      <c r="I64" s="14" t="str">
        <f t="shared" si="0"/>
        <v/>
      </c>
    </row>
    <row r="65" spans="1:9" x14ac:dyDescent="0.25">
      <c r="A65" s="12">
        <f>CEILING(SUM($C$5:$C65)/($A$3/$B$3),1)</f>
        <v>8</v>
      </c>
      <c r="B65" s="6"/>
      <c r="C65" s="7"/>
      <c r="H65" s="13" t="str">
        <f>_xlfn.IFNA(TEXT(VLOOKUP(B65,Lookup!A62:B214,2,FALSE)*$E$1/440,"#.0#"),"")</f>
        <v/>
      </c>
      <c r="I65" s="14" t="str">
        <f t="shared" si="0"/>
        <v/>
      </c>
    </row>
    <row r="66" spans="1:9" x14ac:dyDescent="0.25">
      <c r="A66" s="12">
        <f>CEILING(SUM($C$5:$C66)/($A$3/$B$3),1)</f>
        <v>8</v>
      </c>
      <c r="B66" s="6"/>
      <c r="C66" s="7"/>
      <c r="H66" s="13" t="str">
        <f>_xlfn.IFNA(TEXT(VLOOKUP(B66,Lookup!A63:B215,2,FALSE)*$E$1/440,"#.0#"),"")</f>
        <v/>
      </c>
      <c r="I66" s="14" t="str">
        <f t="shared" si="0"/>
        <v/>
      </c>
    </row>
    <row r="67" spans="1:9" x14ac:dyDescent="0.25">
      <c r="A67" s="12">
        <f>CEILING(SUM($C$5:$C67)/($A$3/$B$3),1)</f>
        <v>8</v>
      </c>
      <c r="B67" s="6"/>
      <c r="C67" s="7"/>
      <c r="H67" s="13" t="str">
        <f>_xlfn.IFNA(TEXT(VLOOKUP(B67,Lookup!A64:B216,2,FALSE)*$E$1/440,"#.0#"),"")</f>
        <v/>
      </c>
      <c r="I67" s="14" t="str">
        <f t="shared" si="0"/>
        <v/>
      </c>
    </row>
    <row r="68" spans="1:9" x14ac:dyDescent="0.25">
      <c r="A68" s="12">
        <f>CEILING(SUM($C$5:$C68)/($A$3/$B$3),1)</f>
        <v>8</v>
      </c>
      <c r="B68" s="6"/>
      <c r="C68" s="7"/>
      <c r="H68" s="13" t="str">
        <f>_xlfn.IFNA(TEXT(VLOOKUP(B68,Lookup!A65:B217,2,FALSE)*$E$1/440,"#.0#"),"")</f>
        <v/>
      </c>
      <c r="I68" s="14" t="str">
        <f t="shared" si="0"/>
        <v/>
      </c>
    </row>
    <row r="69" spans="1:9" x14ac:dyDescent="0.25">
      <c r="A69" s="12">
        <f>CEILING(SUM($C$5:$C69)/($A$3/$B$3),1)</f>
        <v>8</v>
      </c>
      <c r="B69" s="6"/>
      <c r="C69" s="7"/>
      <c r="H69" s="13" t="str">
        <f>_xlfn.IFNA(TEXT(VLOOKUP(B69,Lookup!A66:B218,2,FALSE)*$E$1/440,"#.0#"),"")</f>
        <v/>
      </c>
      <c r="I69" s="14" t="str">
        <f t="shared" si="0"/>
        <v/>
      </c>
    </row>
    <row r="70" spans="1:9" x14ac:dyDescent="0.25">
      <c r="A70" s="12">
        <f>CEILING(SUM($C$5:$C70)/($A$3/$B$3),1)</f>
        <v>8</v>
      </c>
      <c r="B70" s="6"/>
      <c r="C70" s="7"/>
      <c r="H70" s="13" t="str">
        <f>_xlfn.IFNA(TEXT(VLOOKUP(B70,Lookup!A67:B219,2,FALSE)*$E$1/440,"#.0#"),"")</f>
        <v/>
      </c>
      <c r="I70" s="14" t="str">
        <f t="shared" ref="I70:I133" si="1">IF(C70&gt;0,TEXT((60000*$C70*$B$3)/($H$1),"#"),"")</f>
        <v/>
      </c>
    </row>
    <row r="71" spans="1:9" x14ac:dyDescent="0.25">
      <c r="A71" s="12">
        <f>CEILING(SUM($C$5:$C71)/($A$3/$B$3),1)</f>
        <v>8</v>
      </c>
      <c r="B71" s="6"/>
      <c r="C71" s="7"/>
      <c r="H71" s="13" t="str">
        <f>_xlfn.IFNA(TEXT(VLOOKUP(B71,Lookup!A68:B220,2,FALSE)*$E$1/440,"#.0#"),"")</f>
        <v/>
      </c>
      <c r="I71" s="14" t="str">
        <f t="shared" si="1"/>
        <v/>
      </c>
    </row>
    <row r="72" spans="1:9" x14ac:dyDescent="0.25">
      <c r="A72" s="12">
        <f>CEILING(SUM($C$5:$C72)/($A$3/$B$3),1)</f>
        <v>8</v>
      </c>
      <c r="B72" s="6"/>
      <c r="C72" s="7"/>
      <c r="H72" s="13" t="str">
        <f>_xlfn.IFNA(TEXT(VLOOKUP(B72,Lookup!A69:B221,2,FALSE)*$E$1/440,"#.0#"),"")</f>
        <v/>
      </c>
      <c r="I72" s="14" t="str">
        <f t="shared" si="1"/>
        <v/>
      </c>
    </row>
    <row r="73" spans="1:9" x14ac:dyDescent="0.25">
      <c r="A73" s="12">
        <f>CEILING(SUM($C$5:$C73)/($A$3/$B$3),1)</f>
        <v>8</v>
      </c>
      <c r="B73" s="6"/>
      <c r="C73" s="7"/>
      <c r="H73" s="13" t="str">
        <f>_xlfn.IFNA(TEXT(VLOOKUP(B73,Lookup!A70:B222,2,FALSE)*$E$1/440,"#.0#"),"")</f>
        <v/>
      </c>
      <c r="I73" s="14" t="str">
        <f t="shared" si="1"/>
        <v/>
      </c>
    </row>
    <row r="74" spans="1:9" x14ac:dyDescent="0.25">
      <c r="A74" s="12">
        <f>CEILING(SUM($C$5:$C74)/($A$3/$B$3),1)</f>
        <v>8</v>
      </c>
      <c r="B74" s="6"/>
      <c r="C74" s="7"/>
      <c r="H74" s="13" t="str">
        <f>_xlfn.IFNA(TEXT(VLOOKUP(B74,Lookup!A71:B223,2,FALSE)*$E$1/440,"#.0#"),"")</f>
        <v/>
      </c>
      <c r="I74" s="14" t="str">
        <f t="shared" si="1"/>
        <v/>
      </c>
    </row>
    <row r="75" spans="1:9" x14ac:dyDescent="0.25">
      <c r="A75" s="12">
        <f>CEILING(SUM($C$5:$C75)/($A$3/$B$3),1)</f>
        <v>8</v>
      </c>
      <c r="B75" s="6"/>
      <c r="C75" s="7"/>
      <c r="H75" s="13" t="str">
        <f>_xlfn.IFNA(TEXT(VLOOKUP(B75,Lookup!A72:B224,2,FALSE)*$E$1/440,"#.0#"),"")</f>
        <v/>
      </c>
      <c r="I75" s="14" t="str">
        <f t="shared" si="1"/>
        <v/>
      </c>
    </row>
    <row r="76" spans="1:9" x14ac:dyDescent="0.25">
      <c r="A76" s="12">
        <f>CEILING(SUM($C$5:$C76)/($A$3/$B$3),1)</f>
        <v>8</v>
      </c>
      <c r="B76" s="6"/>
      <c r="C76" s="7"/>
      <c r="H76" s="13" t="str">
        <f>_xlfn.IFNA(TEXT(VLOOKUP(B76,Lookup!A73:B225,2,FALSE)*$E$1/440,"#.0#"),"")</f>
        <v/>
      </c>
      <c r="I76" s="14" t="str">
        <f t="shared" si="1"/>
        <v/>
      </c>
    </row>
    <row r="77" spans="1:9" x14ac:dyDescent="0.25">
      <c r="A77" s="12">
        <f>CEILING(SUM($C$5:$C77)/($A$3/$B$3),1)</f>
        <v>8</v>
      </c>
      <c r="B77" s="6"/>
      <c r="C77" s="7"/>
      <c r="H77" s="13" t="str">
        <f>_xlfn.IFNA(TEXT(VLOOKUP(B77,Lookup!A74:B226,2,FALSE)*$E$1/440,"#.0#"),"")</f>
        <v/>
      </c>
      <c r="I77" s="14" t="str">
        <f t="shared" si="1"/>
        <v/>
      </c>
    </row>
    <row r="78" spans="1:9" x14ac:dyDescent="0.25">
      <c r="A78" s="12">
        <f>CEILING(SUM($C$5:$C78)/($A$3/$B$3),1)</f>
        <v>8</v>
      </c>
      <c r="B78" s="6"/>
      <c r="C78" s="7"/>
      <c r="H78" s="13" t="str">
        <f>_xlfn.IFNA(TEXT(VLOOKUP(B78,Lookup!A75:B227,2,FALSE)*$E$1/440,"#.0#"),"")</f>
        <v/>
      </c>
      <c r="I78" s="14" t="str">
        <f t="shared" si="1"/>
        <v/>
      </c>
    </row>
    <row r="79" spans="1:9" x14ac:dyDescent="0.25">
      <c r="A79" s="12">
        <f>CEILING(SUM($C$5:$C79)/($A$3/$B$3),1)</f>
        <v>8</v>
      </c>
      <c r="B79" s="6"/>
      <c r="C79" s="7"/>
      <c r="H79" s="13" t="str">
        <f>_xlfn.IFNA(TEXT(VLOOKUP(B79,Lookup!A76:B228,2,FALSE)*$E$1/440,"#.0#"),"")</f>
        <v/>
      </c>
      <c r="I79" s="14" t="str">
        <f t="shared" si="1"/>
        <v/>
      </c>
    </row>
    <row r="80" spans="1:9" x14ac:dyDescent="0.25">
      <c r="A80" s="12">
        <f>CEILING(SUM($C$5:$C80)/($A$3/$B$3),1)</f>
        <v>8</v>
      </c>
      <c r="B80" s="6"/>
      <c r="C80" s="7"/>
      <c r="H80" s="13" t="str">
        <f>_xlfn.IFNA(TEXT(VLOOKUP(B80,Lookup!A77:B229,2,FALSE)*$E$1/440,"#.0#"),"")</f>
        <v/>
      </c>
      <c r="I80" s="14" t="str">
        <f t="shared" si="1"/>
        <v/>
      </c>
    </row>
    <row r="81" spans="1:9" x14ac:dyDescent="0.25">
      <c r="A81" s="12">
        <f>CEILING(SUM($C$5:$C81)/($A$3/$B$3),1)</f>
        <v>8</v>
      </c>
      <c r="B81" s="6"/>
      <c r="C81" s="7"/>
      <c r="H81" s="13" t="str">
        <f>_xlfn.IFNA(TEXT(VLOOKUP(B81,Lookup!A78:B230,2,FALSE)*$E$1/440,"#.0#"),"")</f>
        <v/>
      </c>
      <c r="I81" s="14" t="str">
        <f t="shared" si="1"/>
        <v/>
      </c>
    </row>
    <row r="82" spans="1:9" x14ac:dyDescent="0.25">
      <c r="A82" s="12">
        <f>CEILING(SUM($C$5:$C82)/($A$3/$B$3),1)</f>
        <v>8</v>
      </c>
      <c r="B82" s="6"/>
      <c r="C82" s="7"/>
      <c r="H82" s="13" t="str">
        <f>_xlfn.IFNA(TEXT(VLOOKUP(B82,Lookup!A79:B231,2,FALSE)*$E$1/440,"#.0#"),"")</f>
        <v/>
      </c>
      <c r="I82" s="14" t="str">
        <f t="shared" si="1"/>
        <v/>
      </c>
    </row>
    <row r="83" spans="1:9" x14ac:dyDescent="0.25">
      <c r="A83" s="12">
        <f>CEILING(SUM($C$5:$C83)/($A$3/$B$3),1)</f>
        <v>8</v>
      </c>
      <c r="B83" s="6"/>
      <c r="C83" s="7"/>
      <c r="H83" s="13" t="str">
        <f>_xlfn.IFNA(TEXT(VLOOKUP(B83,Lookup!A80:B232,2,FALSE)*$E$1/440,"#.0#"),"")</f>
        <v/>
      </c>
      <c r="I83" s="14" t="str">
        <f t="shared" si="1"/>
        <v/>
      </c>
    </row>
    <row r="84" spans="1:9" x14ac:dyDescent="0.25">
      <c r="A84" s="12">
        <f>CEILING(SUM($C$5:$C84)/($A$3/$B$3),1)</f>
        <v>8</v>
      </c>
      <c r="B84" s="6"/>
      <c r="C84" s="7"/>
      <c r="H84" s="13" t="str">
        <f>_xlfn.IFNA(TEXT(VLOOKUP(B84,Lookup!A81:B233,2,FALSE)*$E$1/440,"#.0#"),"")</f>
        <v/>
      </c>
      <c r="I84" s="14" t="str">
        <f t="shared" si="1"/>
        <v/>
      </c>
    </row>
    <row r="85" spans="1:9" x14ac:dyDescent="0.25">
      <c r="A85" s="12">
        <f>CEILING(SUM($C$5:$C85)/($A$3/$B$3),1)</f>
        <v>8</v>
      </c>
      <c r="B85" s="6"/>
      <c r="C85" s="7"/>
      <c r="H85" s="13" t="str">
        <f>_xlfn.IFNA(TEXT(VLOOKUP(B85,Lookup!A82:B234,2,FALSE)*$E$1/440,"#.0#"),"")</f>
        <v/>
      </c>
      <c r="I85" s="14" t="str">
        <f t="shared" si="1"/>
        <v/>
      </c>
    </row>
    <row r="86" spans="1:9" x14ac:dyDescent="0.25">
      <c r="A86" s="12">
        <f>CEILING(SUM($C$5:$C86)/($A$3/$B$3),1)</f>
        <v>8</v>
      </c>
      <c r="B86" s="6"/>
      <c r="C86" s="7"/>
      <c r="H86" s="13" t="str">
        <f>_xlfn.IFNA(TEXT(VLOOKUP(B86,Lookup!A83:B235,2,FALSE)*$E$1/440,"#.0#"),"")</f>
        <v/>
      </c>
      <c r="I86" s="14" t="str">
        <f t="shared" si="1"/>
        <v/>
      </c>
    </row>
    <row r="87" spans="1:9" x14ac:dyDescent="0.25">
      <c r="A87" s="12">
        <f>CEILING(SUM($C$5:$C87)/($A$3/$B$3),1)</f>
        <v>8</v>
      </c>
      <c r="B87" s="6"/>
      <c r="C87" s="7"/>
      <c r="H87" s="13" t="str">
        <f>_xlfn.IFNA(TEXT(VLOOKUP(B87,Lookup!A84:B236,2,FALSE)*$E$1/440,"#.0#"),"")</f>
        <v/>
      </c>
      <c r="I87" s="14" t="str">
        <f t="shared" si="1"/>
        <v/>
      </c>
    </row>
    <row r="88" spans="1:9" x14ac:dyDescent="0.25">
      <c r="A88" s="12">
        <f>CEILING(SUM($C$5:$C88)/($A$3/$B$3),1)</f>
        <v>8</v>
      </c>
      <c r="B88" s="6"/>
      <c r="C88" s="7"/>
      <c r="H88" s="13" t="str">
        <f>_xlfn.IFNA(TEXT(VLOOKUP(B88,Lookup!A85:B237,2,FALSE)*$E$1/440,"#.0#"),"")</f>
        <v/>
      </c>
      <c r="I88" s="14" t="str">
        <f t="shared" si="1"/>
        <v/>
      </c>
    </row>
    <row r="89" spans="1:9" x14ac:dyDescent="0.25">
      <c r="A89" s="12">
        <f>CEILING(SUM($C$5:$C89)/($A$3/$B$3),1)</f>
        <v>8</v>
      </c>
      <c r="B89" s="6"/>
      <c r="C89" s="7"/>
      <c r="H89" s="13" t="str">
        <f>_xlfn.IFNA(TEXT(VLOOKUP(B89,Lookup!A86:B238,2,FALSE)*$E$1/440,"#.0#"),"")</f>
        <v/>
      </c>
      <c r="I89" s="14" t="str">
        <f t="shared" si="1"/>
        <v/>
      </c>
    </row>
    <row r="90" spans="1:9" x14ac:dyDescent="0.25">
      <c r="A90" s="12">
        <f>CEILING(SUM($C$5:$C90)/($A$3/$B$3),1)</f>
        <v>8</v>
      </c>
      <c r="B90" s="6"/>
      <c r="C90" s="7"/>
      <c r="H90" s="13" t="str">
        <f>_xlfn.IFNA(TEXT(VLOOKUP(B90,Lookup!A87:B239,2,FALSE)*$E$1/440,"#.0#"),"")</f>
        <v/>
      </c>
      <c r="I90" s="14" t="str">
        <f t="shared" si="1"/>
        <v/>
      </c>
    </row>
    <row r="91" spans="1:9" x14ac:dyDescent="0.25">
      <c r="A91" s="12">
        <f>CEILING(SUM($C$5:$C91)/($A$3/$B$3),1)</f>
        <v>8</v>
      </c>
      <c r="B91" s="6"/>
      <c r="C91" s="7"/>
      <c r="H91" s="13" t="str">
        <f>_xlfn.IFNA(TEXT(VLOOKUP(B91,Lookup!A88:B240,2,FALSE)*$E$1/440,"#.0#"),"")</f>
        <v/>
      </c>
      <c r="I91" s="14" t="str">
        <f t="shared" si="1"/>
        <v/>
      </c>
    </row>
    <row r="92" spans="1:9" x14ac:dyDescent="0.25">
      <c r="A92" s="12">
        <f>CEILING(SUM($C$5:$C92)/($A$3/$B$3),1)</f>
        <v>8</v>
      </c>
      <c r="B92" s="6"/>
      <c r="C92" s="7"/>
      <c r="H92" s="13" t="str">
        <f>_xlfn.IFNA(TEXT(VLOOKUP(B92,Lookup!A89:B241,2,FALSE)*$E$1/440,"#.0#"),"")</f>
        <v/>
      </c>
      <c r="I92" s="14" t="str">
        <f t="shared" si="1"/>
        <v/>
      </c>
    </row>
    <row r="93" spans="1:9" x14ac:dyDescent="0.25">
      <c r="A93" s="12">
        <f>CEILING(SUM($C$5:$C93)/($A$3/$B$3),1)</f>
        <v>8</v>
      </c>
      <c r="B93" s="6"/>
      <c r="C93" s="7"/>
      <c r="H93" s="13" t="str">
        <f>_xlfn.IFNA(TEXT(VLOOKUP(B93,Lookup!A90:B242,2,FALSE)*$E$1/440,"#.0#"),"")</f>
        <v/>
      </c>
      <c r="I93" s="14" t="str">
        <f t="shared" si="1"/>
        <v/>
      </c>
    </row>
    <row r="94" spans="1:9" x14ac:dyDescent="0.25">
      <c r="A94" s="12">
        <f>CEILING(SUM($C$5:$C94)/($A$3/$B$3),1)</f>
        <v>8</v>
      </c>
      <c r="B94" s="6"/>
      <c r="C94" s="7"/>
      <c r="H94" s="13" t="str">
        <f>_xlfn.IFNA(TEXT(VLOOKUP(B94,Lookup!A91:B243,2,FALSE)*$E$1/440,"#.0#"),"")</f>
        <v/>
      </c>
      <c r="I94" s="14" t="str">
        <f t="shared" si="1"/>
        <v/>
      </c>
    </row>
    <row r="95" spans="1:9" x14ac:dyDescent="0.25">
      <c r="A95" s="12">
        <f>CEILING(SUM($C$5:$C95)/($A$3/$B$3),1)</f>
        <v>8</v>
      </c>
      <c r="B95" s="6"/>
      <c r="C95" s="7"/>
      <c r="H95" s="13" t="str">
        <f>_xlfn.IFNA(TEXT(VLOOKUP(B95,Lookup!A92:B244,2,FALSE)*$E$1/440,"#.0#"),"")</f>
        <v/>
      </c>
      <c r="I95" s="14" t="str">
        <f t="shared" si="1"/>
        <v/>
      </c>
    </row>
    <row r="96" spans="1:9" x14ac:dyDescent="0.25">
      <c r="A96" s="12">
        <f>CEILING(SUM($C$5:$C96)/($A$3/$B$3),1)</f>
        <v>8</v>
      </c>
      <c r="B96" s="6"/>
      <c r="C96" s="7"/>
      <c r="H96" s="13" t="str">
        <f>_xlfn.IFNA(TEXT(VLOOKUP(B96,Lookup!A93:B245,2,FALSE)*$E$1/440,"#.0#"),"")</f>
        <v/>
      </c>
      <c r="I96" s="14" t="str">
        <f t="shared" si="1"/>
        <v/>
      </c>
    </row>
    <row r="97" spans="1:9" x14ac:dyDescent="0.25">
      <c r="A97" s="12">
        <f>CEILING(SUM($C$5:$C97)/($A$3/$B$3),1)</f>
        <v>8</v>
      </c>
      <c r="B97" s="6"/>
      <c r="C97" s="7"/>
      <c r="H97" s="13" t="str">
        <f>_xlfn.IFNA(TEXT(VLOOKUP(B97,Lookup!A94:B246,2,FALSE)*$E$1/440,"#.0#"),"")</f>
        <v/>
      </c>
      <c r="I97" s="14" t="str">
        <f t="shared" si="1"/>
        <v/>
      </c>
    </row>
    <row r="98" spans="1:9" x14ac:dyDescent="0.25">
      <c r="A98" s="12">
        <f>CEILING(SUM($C$5:$C98)/($A$3/$B$3),1)</f>
        <v>8</v>
      </c>
      <c r="B98" s="6"/>
      <c r="C98" s="7"/>
      <c r="H98" s="13" t="str">
        <f>_xlfn.IFNA(TEXT(VLOOKUP(B98,Lookup!A95:B247,2,FALSE)*$E$1/440,"#.0#"),"")</f>
        <v/>
      </c>
      <c r="I98" s="14" t="str">
        <f t="shared" si="1"/>
        <v/>
      </c>
    </row>
    <row r="99" spans="1:9" x14ac:dyDescent="0.25">
      <c r="A99" s="12">
        <f>CEILING(SUM($C$5:$C99)/($A$3/$B$3),1)</f>
        <v>8</v>
      </c>
      <c r="B99" s="6"/>
      <c r="C99" s="7"/>
      <c r="H99" s="13" t="str">
        <f>_xlfn.IFNA(TEXT(VLOOKUP(B99,Lookup!A96:B248,2,FALSE)*$E$1/440,"#.0#"),"")</f>
        <v/>
      </c>
      <c r="I99" s="14" t="str">
        <f t="shared" si="1"/>
        <v/>
      </c>
    </row>
    <row r="100" spans="1:9" x14ac:dyDescent="0.25">
      <c r="A100" s="12">
        <f>CEILING(SUM($C$5:$C100)/($A$3/$B$3),1)</f>
        <v>8</v>
      </c>
      <c r="B100" s="6"/>
      <c r="C100" s="7"/>
      <c r="H100" s="13" t="str">
        <f>_xlfn.IFNA(TEXT(VLOOKUP(B100,Lookup!A97:B249,2,FALSE)*$E$1/440,"#.0#"),"")</f>
        <v/>
      </c>
      <c r="I100" s="14" t="str">
        <f t="shared" si="1"/>
        <v/>
      </c>
    </row>
    <row r="101" spans="1:9" x14ac:dyDescent="0.25">
      <c r="A101" s="12">
        <f>CEILING(SUM($C$5:$C101)/($A$3/$B$3),1)</f>
        <v>8</v>
      </c>
      <c r="B101" s="6"/>
      <c r="C101" s="7"/>
      <c r="H101" s="13" t="str">
        <f>_xlfn.IFNA(TEXT(VLOOKUP(B101,Lookup!A98:B250,2,FALSE)*$E$1/440,"#.0#"),"")</f>
        <v/>
      </c>
      <c r="I101" s="14" t="str">
        <f t="shared" si="1"/>
        <v/>
      </c>
    </row>
    <row r="102" spans="1:9" x14ac:dyDescent="0.25">
      <c r="A102" s="12">
        <f>CEILING(SUM($C$5:$C102)/($A$3/$B$3),1)</f>
        <v>8</v>
      </c>
      <c r="B102" s="6"/>
      <c r="C102" s="7"/>
      <c r="H102" s="13" t="str">
        <f>_xlfn.IFNA(TEXT(VLOOKUP(B102,Lookup!A99:B251,2,FALSE)*$E$1/440,"#.0#"),"")</f>
        <v/>
      </c>
      <c r="I102" s="14" t="str">
        <f t="shared" si="1"/>
        <v/>
      </c>
    </row>
    <row r="103" spans="1:9" x14ac:dyDescent="0.25">
      <c r="A103" s="12">
        <f>CEILING(SUM($C$5:$C103)/($A$3/$B$3),1)</f>
        <v>8</v>
      </c>
      <c r="B103" s="6"/>
      <c r="C103" s="7"/>
      <c r="H103" s="13" t="str">
        <f>_xlfn.IFNA(TEXT(VLOOKUP(B103,Lookup!A100:B252,2,FALSE)*$E$1/440,"#.0#"),"")</f>
        <v/>
      </c>
      <c r="I103" s="14" t="str">
        <f t="shared" si="1"/>
        <v/>
      </c>
    </row>
    <row r="104" spans="1:9" x14ac:dyDescent="0.25">
      <c r="A104" s="12">
        <f>CEILING(SUM($C$5:$C104)/($A$3/$B$3),1)</f>
        <v>8</v>
      </c>
      <c r="B104" s="6"/>
      <c r="C104" s="7"/>
      <c r="H104" s="13" t="str">
        <f>_xlfn.IFNA(TEXT(VLOOKUP(B104,Lookup!A101:B253,2,FALSE)*$E$1/440,"#.0#"),"")</f>
        <v/>
      </c>
      <c r="I104" s="14" t="str">
        <f t="shared" si="1"/>
        <v/>
      </c>
    </row>
    <row r="105" spans="1:9" x14ac:dyDescent="0.25">
      <c r="A105" s="12">
        <f>CEILING(SUM($C$5:$C105)/($A$3/$B$3),1)</f>
        <v>8</v>
      </c>
      <c r="B105" s="6"/>
      <c r="C105" s="7"/>
      <c r="H105" s="13" t="str">
        <f>_xlfn.IFNA(TEXT(VLOOKUP(B105,Lookup!A102:B254,2,FALSE)*$E$1/440,"#.0#"),"")</f>
        <v/>
      </c>
      <c r="I105" s="14" t="str">
        <f t="shared" si="1"/>
        <v/>
      </c>
    </row>
    <row r="106" spans="1:9" x14ac:dyDescent="0.25">
      <c r="A106" s="12">
        <f>CEILING(SUM($C$5:$C106)/($A$3/$B$3),1)</f>
        <v>8</v>
      </c>
      <c r="B106" s="6"/>
      <c r="C106" s="7"/>
      <c r="H106" s="13" t="str">
        <f>_xlfn.IFNA(TEXT(VLOOKUP(B106,Lookup!A103:B255,2,FALSE)*$E$1/440,"#.0#"),"")</f>
        <v/>
      </c>
      <c r="I106" s="14" t="str">
        <f t="shared" si="1"/>
        <v/>
      </c>
    </row>
    <row r="107" spans="1:9" x14ac:dyDescent="0.25">
      <c r="A107" s="12">
        <f>CEILING(SUM($C$5:$C107)/($A$3/$B$3),1)</f>
        <v>8</v>
      </c>
      <c r="B107" s="6"/>
      <c r="C107" s="7"/>
      <c r="H107" s="13" t="str">
        <f>_xlfn.IFNA(TEXT(VLOOKUP(B107,Lookup!A104:B256,2,FALSE)*$E$1/440,"#.0#"),"")</f>
        <v/>
      </c>
      <c r="I107" s="14" t="str">
        <f t="shared" si="1"/>
        <v/>
      </c>
    </row>
    <row r="108" spans="1:9" x14ac:dyDescent="0.25">
      <c r="A108" s="12">
        <f>CEILING(SUM($C$5:$C108)/($A$3/$B$3),1)</f>
        <v>8</v>
      </c>
      <c r="B108" s="6"/>
      <c r="C108" s="7"/>
      <c r="H108" s="13" t="str">
        <f>_xlfn.IFNA(TEXT(VLOOKUP(B108,Lookup!A105:B257,2,FALSE)*$E$1/440,"#.0#"),"")</f>
        <v/>
      </c>
      <c r="I108" s="14" t="str">
        <f t="shared" si="1"/>
        <v/>
      </c>
    </row>
    <row r="109" spans="1:9" x14ac:dyDescent="0.25">
      <c r="A109" s="12">
        <f>CEILING(SUM($C$5:$C109)/($A$3/$B$3),1)</f>
        <v>8</v>
      </c>
      <c r="B109" s="6"/>
      <c r="C109" s="7"/>
      <c r="H109" s="13" t="str">
        <f>_xlfn.IFNA(TEXT(VLOOKUP(B109,Lookup!A106:B258,2,FALSE)*$E$1/440,"#.0#"),"")</f>
        <v/>
      </c>
      <c r="I109" s="14" t="str">
        <f t="shared" si="1"/>
        <v/>
      </c>
    </row>
    <row r="110" spans="1:9" x14ac:dyDescent="0.25">
      <c r="A110" s="12">
        <f>CEILING(SUM($C$5:$C110)/($A$3/$B$3),1)</f>
        <v>8</v>
      </c>
      <c r="B110" s="6"/>
      <c r="C110" s="7"/>
      <c r="H110" s="13" t="str">
        <f>_xlfn.IFNA(TEXT(VLOOKUP(B110,Lookup!A107:B259,2,FALSE)*$E$1/440,"#.0#"),"")</f>
        <v/>
      </c>
      <c r="I110" s="14" t="str">
        <f t="shared" si="1"/>
        <v/>
      </c>
    </row>
    <row r="111" spans="1:9" x14ac:dyDescent="0.25">
      <c r="A111" s="12">
        <f>CEILING(SUM($C$5:$C111)/($A$3/$B$3),1)</f>
        <v>8</v>
      </c>
      <c r="B111" s="6"/>
      <c r="C111" s="7"/>
      <c r="H111" s="13" t="str">
        <f>_xlfn.IFNA(TEXT(VLOOKUP(B111,Lookup!A108:B260,2,FALSE)*$E$1/440,"#.0#"),"")</f>
        <v/>
      </c>
      <c r="I111" s="14" t="str">
        <f t="shared" si="1"/>
        <v/>
      </c>
    </row>
    <row r="112" spans="1:9" x14ac:dyDescent="0.25">
      <c r="A112" s="12">
        <f>CEILING(SUM($C$5:$C112)/($A$3/$B$3),1)</f>
        <v>8</v>
      </c>
      <c r="B112" s="6"/>
      <c r="C112" s="7"/>
      <c r="H112" s="13" t="str">
        <f>_xlfn.IFNA(TEXT(VLOOKUP(B112,Lookup!A109:B261,2,FALSE)*$E$1/440,"#.0#"),"")</f>
        <v/>
      </c>
      <c r="I112" s="14" t="str">
        <f t="shared" si="1"/>
        <v/>
      </c>
    </row>
    <row r="113" spans="1:9" x14ac:dyDescent="0.25">
      <c r="A113" s="12">
        <f>CEILING(SUM($C$5:$C113)/($A$3/$B$3),1)</f>
        <v>8</v>
      </c>
      <c r="B113" s="6"/>
      <c r="C113" s="7"/>
      <c r="H113" s="13" t="str">
        <f>_xlfn.IFNA(TEXT(VLOOKUP(B113,Lookup!A110:B262,2,FALSE)*$E$1/440,"#.0#"),"")</f>
        <v/>
      </c>
      <c r="I113" s="14" t="str">
        <f t="shared" si="1"/>
        <v/>
      </c>
    </row>
    <row r="114" spans="1:9" x14ac:dyDescent="0.25">
      <c r="A114" s="12">
        <f>CEILING(SUM($C$5:$C114)/($A$3/$B$3),1)</f>
        <v>8</v>
      </c>
      <c r="B114" s="6"/>
      <c r="C114" s="7"/>
      <c r="H114" s="13" t="str">
        <f>_xlfn.IFNA(TEXT(VLOOKUP(B114,Lookup!A111:B263,2,FALSE)*$E$1/440,"#.0#"),"")</f>
        <v/>
      </c>
      <c r="I114" s="14" t="str">
        <f t="shared" si="1"/>
        <v/>
      </c>
    </row>
    <row r="115" spans="1:9" x14ac:dyDescent="0.25">
      <c r="A115" s="12">
        <f>CEILING(SUM($C$5:$C115)/($A$3/$B$3),1)</f>
        <v>8</v>
      </c>
      <c r="B115" s="6"/>
      <c r="C115" s="7"/>
      <c r="H115" s="13" t="str">
        <f>_xlfn.IFNA(TEXT(VLOOKUP(B115,Lookup!A112:B264,2,FALSE)*$E$1/440,"#.0#"),"")</f>
        <v/>
      </c>
      <c r="I115" s="14" t="str">
        <f t="shared" si="1"/>
        <v/>
      </c>
    </row>
    <row r="116" spans="1:9" x14ac:dyDescent="0.25">
      <c r="A116" s="12">
        <f>CEILING(SUM($C$5:$C116)/($A$3/$B$3),1)</f>
        <v>8</v>
      </c>
      <c r="B116" s="6"/>
      <c r="C116" s="7"/>
      <c r="H116" s="13" t="str">
        <f>_xlfn.IFNA(TEXT(VLOOKUP(B116,Lookup!A113:B265,2,FALSE)*$E$1/440,"#.0#"),"")</f>
        <v/>
      </c>
      <c r="I116" s="14" t="str">
        <f t="shared" si="1"/>
        <v/>
      </c>
    </row>
    <row r="117" spans="1:9" x14ac:dyDescent="0.25">
      <c r="A117" s="12">
        <f>CEILING(SUM($C$5:$C117)/($A$3/$B$3),1)</f>
        <v>8</v>
      </c>
      <c r="B117" s="6"/>
      <c r="C117" s="7"/>
      <c r="H117" s="13" t="str">
        <f>_xlfn.IFNA(TEXT(VLOOKUP(B117,Lookup!A114:B266,2,FALSE)*$E$1/440,"#.0#"),"")</f>
        <v/>
      </c>
      <c r="I117" s="14" t="str">
        <f t="shared" si="1"/>
        <v/>
      </c>
    </row>
    <row r="118" spans="1:9" x14ac:dyDescent="0.25">
      <c r="A118" s="12">
        <f>CEILING(SUM($C$5:$C118)/($A$3/$B$3),1)</f>
        <v>8</v>
      </c>
      <c r="B118" s="6"/>
      <c r="C118" s="7"/>
      <c r="H118" s="13" t="str">
        <f>_xlfn.IFNA(TEXT(VLOOKUP(B118,Lookup!A115:B267,2,FALSE)*$E$1/440,"#.0#"),"")</f>
        <v/>
      </c>
      <c r="I118" s="14" t="str">
        <f t="shared" si="1"/>
        <v/>
      </c>
    </row>
    <row r="119" spans="1:9" x14ac:dyDescent="0.25">
      <c r="A119" s="12">
        <f>CEILING(SUM($C$5:$C119)/($A$3/$B$3),1)</f>
        <v>8</v>
      </c>
      <c r="B119" s="6"/>
      <c r="C119" s="7"/>
      <c r="H119" s="13" t="str">
        <f>_xlfn.IFNA(TEXT(VLOOKUP(B119,Lookup!A116:B268,2,FALSE)*$E$1/440,"#.0#"),"")</f>
        <v/>
      </c>
      <c r="I119" s="14" t="str">
        <f t="shared" si="1"/>
        <v/>
      </c>
    </row>
    <row r="120" spans="1:9" x14ac:dyDescent="0.25">
      <c r="A120" s="12">
        <f>CEILING(SUM($C$5:$C120)/($A$3/$B$3),1)</f>
        <v>8</v>
      </c>
      <c r="B120" s="6"/>
      <c r="C120" s="7"/>
      <c r="H120" s="13" t="str">
        <f>_xlfn.IFNA(TEXT(VLOOKUP(B120,Lookup!A117:B269,2,FALSE)*$E$1/440,"#.0#"),"")</f>
        <v/>
      </c>
      <c r="I120" s="14" t="str">
        <f t="shared" si="1"/>
        <v/>
      </c>
    </row>
    <row r="121" spans="1:9" x14ac:dyDescent="0.25">
      <c r="A121" s="12">
        <f>CEILING(SUM($C$5:$C121)/($A$3/$B$3),1)</f>
        <v>8</v>
      </c>
      <c r="B121" s="6"/>
      <c r="C121" s="7"/>
      <c r="H121" s="13" t="str">
        <f>_xlfn.IFNA(TEXT(VLOOKUP(B121,Lookup!A118:B270,2,FALSE)*$E$1/440,"#.0#"),"")</f>
        <v/>
      </c>
      <c r="I121" s="14" t="str">
        <f t="shared" si="1"/>
        <v/>
      </c>
    </row>
    <row r="122" spans="1:9" x14ac:dyDescent="0.25">
      <c r="A122" s="12">
        <f>CEILING(SUM($C$5:$C122)/($A$3/$B$3),1)</f>
        <v>8</v>
      </c>
      <c r="B122" s="6"/>
      <c r="C122" s="7"/>
      <c r="H122" s="13" t="str">
        <f>_xlfn.IFNA(TEXT(VLOOKUP(B122,Lookup!A119:B271,2,FALSE)*$E$1/440,"#.0#"),"")</f>
        <v/>
      </c>
      <c r="I122" s="14" t="str">
        <f t="shared" si="1"/>
        <v/>
      </c>
    </row>
    <row r="123" spans="1:9" x14ac:dyDescent="0.25">
      <c r="A123" s="12">
        <f>CEILING(SUM($C$5:$C123)/($A$3/$B$3),1)</f>
        <v>8</v>
      </c>
      <c r="B123" s="6"/>
      <c r="C123" s="7"/>
      <c r="H123" s="13" t="str">
        <f>_xlfn.IFNA(TEXT(VLOOKUP(B123,Lookup!A120:B272,2,FALSE)*$E$1/440,"#.0#"),"")</f>
        <v/>
      </c>
      <c r="I123" s="14" t="str">
        <f t="shared" si="1"/>
        <v/>
      </c>
    </row>
    <row r="124" spans="1:9" x14ac:dyDescent="0.25">
      <c r="A124" s="12">
        <f>CEILING(SUM($C$5:$C124)/($A$3/$B$3),1)</f>
        <v>8</v>
      </c>
      <c r="B124" s="6"/>
      <c r="C124" s="7"/>
      <c r="H124" s="13" t="str">
        <f>_xlfn.IFNA(TEXT(VLOOKUP(B124,Lookup!A121:B273,2,FALSE)*$E$1/440,"#.0#"),"")</f>
        <v/>
      </c>
      <c r="I124" s="14" t="str">
        <f t="shared" si="1"/>
        <v/>
      </c>
    </row>
    <row r="125" spans="1:9" x14ac:dyDescent="0.25">
      <c r="A125" s="12">
        <f>CEILING(SUM($C$5:$C125)/($A$3/$B$3),1)</f>
        <v>8</v>
      </c>
      <c r="B125" s="6"/>
      <c r="C125" s="7"/>
      <c r="H125" s="13" t="str">
        <f>_xlfn.IFNA(TEXT(VLOOKUP(B125,Lookup!A122:B274,2,FALSE)*$E$1/440,"#.0#"),"")</f>
        <v/>
      </c>
      <c r="I125" s="14" t="str">
        <f t="shared" si="1"/>
        <v/>
      </c>
    </row>
    <row r="126" spans="1:9" x14ac:dyDescent="0.25">
      <c r="A126" s="12">
        <f>CEILING(SUM($C$5:$C126)/($A$3/$B$3),1)</f>
        <v>8</v>
      </c>
      <c r="B126" s="6"/>
      <c r="C126" s="7"/>
      <c r="H126" s="13" t="str">
        <f>_xlfn.IFNA(TEXT(VLOOKUP(B126,Lookup!A123:B275,2,FALSE)*$E$1/440,"#.0#"),"")</f>
        <v/>
      </c>
      <c r="I126" s="14" t="str">
        <f t="shared" si="1"/>
        <v/>
      </c>
    </row>
    <row r="127" spans="1:9" x14ac:dyDescent="0.25">
      <c r="A127" s="12">
        <f>CEILING(SUM($C$5:$C127)/($A$3/$B$3),1)</f>
        <v>8</v>
      </c>
      <c r="B127" s="6"/>
      <c r="C127" s="7"/>
      <c r="H127" s="13" t="str">
        <f>_xlfn.IFNA(TEXT(VLOOKUP(B127,Lookup!A124:B276,2,FALSE)*$E$1/440,"#.0#"),"")</f>
        <v/>
      </c>
      <c r="I127" s="14" t="str">
        <f t="shared" si="1"/>
        <v/>
      </c>
    </row>
    <row r="128" spans="1:9" x14ac:dyDescent="0.25">
      <c r="A128" s="12">
        <f>CEILING(SUM($C$5:$C128)/($A$3/$B$3),1)</f>
        <v>8</v>
      </c>
      <c r="B128" s="6"/>
      <c r="C128" s="7"/>
      <c r="H128" s="13" t="str">
        <f>_xlfn.IFNA(TEXT(VLOOKUP(B128,Lookup!A125:B277,2,FALSE)*$E$1/440,"#.0#"),"")</f>
        <v/>
      </c>
      <c r="I128" s="14" t="str">
        <f t="shared" si="1"/>
        <v/>
      </c>
    </row>
    <row r="129" spans="1:9" x14ac:dyDescent="0.25">
      <c r="A129" s="12">
        <f>CEILING(SUM($C$5:$C129)/($A$3/$B$3),1)</f>
        <v>8</v>
      </c>
      <c r="B129" s="6"/>
      <c r="C129" s="7"/>
      <c r="H129" s="13" t="str">
        <f>_xlfn.IFNA(TEXT(VLOOKUP(B129,Lookup!A126:B278,2,FALSE)*$E$1/440,"#.0#"),"")</f>
        <v/>
      </c>
      <c r="I129" s="14" t="str">
        <f t="shared" si="1"/>
        <v/>
      </c>
    </row>
    <row r="130" spans="1:9" x14ac:dyDescent="0.25">
      <c r="A130" s="12">
        <f>CEILING(SUM($C$5:$C130)/($A$3/$B$3),1)</f>
        <v>8</v>
      </c>
      <c r="B130" s="6"/>
      <c r="C130" s="7"/>
      <c r="H130" s="13" t="str">
        <f>_xlfn.IFNA(TEXT(VLOOKUP(B130,Lookup!A127:B279,2,FALSE)*$E$1/440,"#.0#"),"")</f>
        <v/>
      </c>
      <c r="I130" s="14" t="str">
        <f t="shared" si="1"/>
        <v/>
      </c>
    </row>
    <row r="131" spans="1:9" x14ac:dyDescent="0.25">
      <c r="A131" s="12">
        <f>CEILING(SUM($C$5:$C131)/($A$3/$B$3),1)</f>
        <v>8</v>
      </c>
      <c r="B131" s="6"/>
      <c r="C131" s="7"/>
      <c r="H131" s="13" t="str">
        <f>_xlfn.IFNA(TEXT(VLOOKUP(B131,Lookup!A128:B280,2,FALSE)*$E$1/440,"#.0#"),"")</f>
        <v/>
      </c>
      <c r="I131" s="14" t="str">
        <f t="shared" si="1"/>
        <v/>
      </c>
    </row>
    <row r="132" spans="1:9" x14ac:dyDescent="0.25">
      <c r="A132" s="12">
        <f>CEILING(SUM($C$5:$C132)/($A$3/$B$3),1)</f>
        <v>8</v>
      </c>
      <c r="B132" s="6"/>
      <c r="C132" s="7"/>
      <c r="H132" s="13" t="str">
        <f>_xlfn.IFNA(TEXT(VLOOKUP(B132,Lookup!A129:B281,2,FALSE)*$E$1/440,"#.0#"),"")</f>
        <v/>
      </c>
      <c r="I132" s="14" t="str">
        <f t="shared" si="1"/>
        <v/>
      </c>
    </row>
    <row r="133" spans="1:9" x14ac:dyDescent="0.25">
      <c r="A133" s="12">
        <f>CEILING(SUM($C$5:$C133)/($A$3/$B$3),1)</f>
        <v>8</v>
      </c>
      <c r="B133" s="6"/>
      <c r="C133" s="7"/>
      <c r="H133" s="13" t="str">
        <f>_xlfn.IFNA(TEXT(VLOOKUP(B133,Lookup!A130:B282,2,FALSE)*$E$1/440,"#.0#"),"")</f>
        <v/>
      </c>
      <c r="I133" s="14" t="str">
        <f t="shared" si="1"/>
        <v/>
      </c>
    </row>
    <row r="134" spans="1:9" x14ac:dyDescent="0.25">
      <c r="A134" s="12">
        <f>CEILING(SUM($C$5:$C134)/($A$3/$B$3),1)</f>
        <v>8</v>
      </c>
      <c r="B134" s="6"/>
      <c r="C134" s="7"/>
      <c r="H134" s="13" t="str">
        <f>_xlfn.IFNA(TEXT(VLOOKUP(B134,Lookup!A131:B283,2,FALSE)*$E$1/440,"#.0#"),"")</f>
        <v/>
      </c>
      <c r="I134" s="14" t="str">
        <f t="shared" ref="I134:I197" si="2">IF(C134&gt;0,TEXT((60000*$C134*$B$3)/($H$1),"#"),"")</f>
        <v/>
      </c>
    </row>
    <row r="135" spans="1:9" x14ac:dyDescent="0.25">
      <c r="A135" s="12">
        <f>CEILING(SUM($C$5:$C135)/($A$3/$B$3),1)</f>
        <v>8</v>
      </c>
      <c r="B135" s="6"/>
      <c r="C135" s="7"/>
      <c r="H135" s="13" t="str">
        <f>_xlfn.IFNA(TEXT(VLOOKUP(B135,Lookup!A132:B284,2,FALSE)*$E$1/440,"#.0#"),"")</f>
        <v/>
      </c>
      <c r="I135" s="14" t="str">
        <f t="shared" si="2"/>
        <v/>
      </c>
    </row>
    <row r="136" spans="1:9" x14ac:dyDescent="0.25">
      <c r="A136" s="12">
        <f>CEILING(SUM($C$5:$C136)/($A$3/$B$3),1)</f>
        <v>8</v>
      </c>
      <c r="B136" s="6"/>
      <c r="C136" s="7"/>
      <c r="H136" s="13" t="str">
        <f>_xlfn.IFNA(TEXT(VLOOKUP(B136,Lookup!A133:B285,2,FALSE)*$E$1/440,"#.0#"),"")</f>
        <v/>
      </c>
      <c r="I136" s="14" t="str">
        <f t="shared" si="2"/>
        <v/>
      </c>
    </row>
    <row r="137" spans="1:9" x14ac:dyDescent="0.25">
      <c r="A137" s="12">
        <f>CEILING(SUM($C$5:$C137)/($A$3/$B$3),1)</f>
        <v>8</v>
      </c>
      <c r="B137" s="6"/>
      <c r="C137" s="7"/>
      <c r="H137" s="13" t="str">
        <f>_xlfn.IFNA(TEXT(VLOOKUP(B137,Lookup!A134:B286,2,FALSE)*$E$1/440,"#.0#"),"")</f>
        <v/>
      </c>
      <c r="I137" s="14" t="str">
        <f t="shared" si="2"/>
        <v/>
      </c>
    </row>
    <row r="138" spans="1:9" x14ac:dyDescent="0.25">
      <c r="A138" s="12">
        <f>CEILING(SUM($C$5:$C138)/($A$3/$B$3),1)</f>
        <v>8</v>
      </c>
      <c r="B138" s="6"/>
      <c r="C138" s="7"/>
      <c r="H138" s="13" t="str">
        <f>_xlfn.IFNA(TEXT(VLOOKUP(B138,Lookup!A135:B287,2,FALSE)*$E$1/440,"#.0#"),"")</f>
        <v/>
      </c>
      <c r="I138" s="14" t="str">
        <f t="shared" si="2"/>
        <v/>
      </c>
    </row>
    <row r="139" spans="1:9" x14ac:dyDescent="0.25">
      <c r="A139" s="12">
        <f>CEILING(SUM($C$5:$C139)/($A$3/$B$3),1)</f>
        <v>8</v>
      </c>
      <c r="B139" s="6"/>
      <c r="C139" s="7"/>
      <c r="H139" s="13" t="str">
        <f>_xlfn.IFNA(TEXT(VLOOKUP(B139,Lookup!A136:B288,2,FALSE)*$E$1/440,"#.0#"),"")</f>
        <v/>
      </c>
      <c r="I139" s="14" t="str">
        <f t="shared" si="2"/>
        <v/>
      </c>
    </row>
    <row r="140" spans="1:9" x14ac:dyDescent="0.25">
      <c r="A140" s="12">
        <f>CEILING(SUM($C$5:$C140)/($A$3/$B$3),1)</f>
        <v>8</v>
      </c>
      <c r="B140" s="6"/>
      <c r="C140" s="7"/>
      <c r="H140" s="13" t="str">
        <f>_xlfn.IFNA(TEXT(VLOOKUP(B140,Lookup!A137:B289,2,FALSE)*$E$1/440,"#.0#"),"")</f>
        <v/>
      </c>
      <c r="I140" s="14" t="str">
        <f t="shared" si="2"/>
        <v/>
      </c>
    </row>
    <row r="141" spans="1:9" x14ac:dyDescent="0.25">
      <c r="A141" s="12">
        <f>CEILING(SUM($C$5:$C141)/($A$3/$B$3),1)</f>
        <v>8</v>
      </c>
      <c r="B141" s="6"/>
      <c r="C141" s="7"/>
      <c r="H141" s="13" t="str">
        <f>_xlfn.IFNA(TEXT(VLOOKUP(B141,Lookup!A138:B290,2,FALSE)*$E$1/440,"#.0#"),"")</f>
        <v/>
      </c>
      <c r="I141" s="14" t="str">
        <f t="shared" si="2"/>
        <v/>
      </c>
    </row>
    <row r="142" spans="1:9" x14ac:dyDescent="0.25">
      <c r="A142" s="12">
        <f>CEILING(SUM($C$5:$C142)/($A$3/$B$3),1)</f>
        <v>8</v>
      </c>
      <c r="B142" s="6"/>
      <c r="C142" s="7"/>
      <c r="H142" s="13" t="str">
        <f>_xlfn.IFNA(TEXT(VLOOKUP(B142,Lookup!A139:B291,2,FALSE)*$E$1/440,"#.0#"),"")</f>
        <v/>
      </c>
      <c r="I142" s="14" t="str">
        <f t="shared" si="2"/>
        <v/>
      </c>
    </row>
    <row r="143" spans="1:9" x14ac:dyDescent="0.25">
      <c r="A143" s="12">
        <f>CEILING(SUM($C$5:$C143)/($A$3/$B$3),1)</f>
        <v>8</v>
      </c>
      <c r="B143" s="6"/>
      <c r="C143" s="7"/>
      <c r="H143" s="13" t="str">
        <f>_xlfn.IFNA(TEXT(VLOOKUP(B143,Lookup!A140:B292,2,FALSE)*$E$1/440,"#.0#"),"")</f>
        <v/>
      </c>
      <c r="I143" s="14" t="str">
        <f t="shared" si="2"/>
        <v/>
      </c>
    </row>
    <row r="144" spans="1:9" x14ac:dyDescent="0.25">
      <c r="A144" s="12">
        <f>CEILING(SUM($C$5:$C144)/($A$3/$B$3),1)</f>
        <v>8</v>
      </c>
      <c r="B144" s="6"/>
      <c r="C144" s="7"/>
      <c r="H144" s="13" t="str">
        <f>_xlfn.IFNA(TEXT(VLOOKUP(B144,Lookup!A141:B293,2,FALSE)*$E$1/440,"#.0#"),"")</f>
        <v/>
      </c>
      <c r="I144" s="14" t="str">
        <f t="shared" si="2"/>
        <v/>
      </c>
    </row>
    <row r="145" spans="1:9" x14ac:dyDescent="0.25">
      <c r="A145" s="12">
        <f>CEILING(SUM($C$5:$C145)/($A$3/$B$3),1)</f>
        <v>8</v>
      </c>
      <c r="B145" s="6"/>
      <c r="C145" s="7"/>
      <c r="H145" s="13" t="str">
        <f>_xlfn.IFNA(TEXT(VLOOKUP(B145,Lookup!A142:B294,2,FALSE)*$E$1/440,"#.0#"),"")</f>
        <v/>
      </c>
      <c r="I145" s="14" t="str">
        <f t="shared" si="2"/>
        <v/>
      </c>
    </row>
    <row r="146" spans="1:9" x14ac:dyDescent="0.25">
      <c r="A146" s="12">
        <f>CEILING(SUM($C$5:$C146)/($A$3/$B$3),1)</f>
        <v>8</v>
      </c>
      <c r="B146" s="6"/>
      <c r="C146" s="7"/>
      <c r="H146" s="13" t="str">
        <f>_xlfn.IFNA(TEXT(VLOOKUP(B146,Lookup!A143:B295,2,FALSE)*$E$1/440,"#.0#"),"")</f>
        <v/>
      </c>
      <c r="I146" s="14" t="str">
        <f t="shared" si="2"/>
        <v/>
      </c>
    </row>
    <row r="147" spans="1:9" x14ac:dyDescent="0.25">
      <c r="A147" s="12">
        <f>CEILING(SUM($C$5:$C147)/($A$3/$B$3),1)</f>
        <v>8</v>
      </c>
      <c r="B147" s="6"/>
      <c r="C147" s="7"/>
      <c r="H147" s="13" t="str">
        <f>_xlfn.IFNA(TEXT(VLOOKUP(B147,Lookup!A144:B296,2,FALSE)*$E$1/440,"#.0#"),"")</f>
        <v/>
      </c>
      <c r="I147" s="14" t="str">
        <f t="shared" si="2"/>
        <v/>
      </c>
    </row>
    <row r="148" spans="1:9" x14ac:dyDescent="0.25">
      <c r="A148" s="12">
        <f>CEILING(SUM($C$5:$C148)/($A$3/$B$3),1)</f>
        <v>8</v>
      </c>
      <c r="B148" s="6"/>
      <c r="C148" s="7"/>
      <c r="H148" s="13" t="str">
        <f>_xlfn.IFNA(TEXT(VLOOKUP(B148,Lookup!A145:B297,2,FALSE)*$E$1/440,"#.0#"),"")</f>
        <v/>
      </c>
      <c r="I148" s="14" t="str">
        <f t="shared" si="2"/>
        <v/>
      </c>
    </row>
    <row r="149" spans="1:9" x14ac:dyDescent="0.25">
      <c r="A149" s="12">
        <f>CEILING(SUM($C$5:$C149)/($A$3/$B$3),1)</f>
        <v>8</v>
      </c>
      <c r="B149" s="6"/>
      <c r="C149" s="7"/>
      <c r="H149" s="13" t="str">
        <f>_xlfn.IFNA(TEXT(VLOOKUP(B149,Lookup!A146:B298,2,FALSE)*$E$1/440,"#.0#"),"")</f>
        <v/>
      </c>
      <c r="I149" s="14" t="str">
        <f t="shared" si="2"/>
        <v/>
      </c>
    </row>
    <row r="150" spans="1:9" x14ac:dyDescent="0.25">
      <c r="A150" s="12">
        <f>CEILING(SUM($C$5:$C150)/($A$3/$B$3),1)</f>
        <v>8</v>
      </c>
      <c r="B150" s="6"/>
      <c r="C150" s="7"/>
      <c r="H150" s="13" t="str">
        <f>_xlfn.IFNA(TEXT(VLOOKUP(B150,Lookup!A147:B299,2,FALSE)*$E$1/440,"#.0#"),"")</f>
        <v/>
      </c>
      <c r="I150" s="14" t="str">
        <f t="shared" si="2"/>
        <v/>
      </c>
    </row>
    <row r="151" spans="1:9" x14ac:dyDescent="0.25">
      <c r="A151" s="12">
        <f>CEILING(SUM($C$5:$C151)/($A$3/$B$3),1)</f>
        <v>8</v>
      </c>
      <c r="B151" s="6"/>
      <c r="C151" s="7"/>
      <c r="H151" s="13" t="str">
        <f>_xlfn.IFNA(TEXT(VLOOKUP(B151,Lookup!A148:B300,2,FALSE)*$E$1/440,"#.0#"),"")</f>
        <v/>
      </c>
      <c r="I151" s="14" t="str">
        <f t="shared" si="2"/>
        <v/>
      </c>
    </row>
    <row r="152" spans="1:9" x14ac:dyDescent="0.25">
      <c r="A152" s="12">
        <f>CEILING(SUM($C$5:$C152)/($A$3/$B$3),1)</f>
        <v>8</v>
      </c>
      <c r="B152" s="6"/>
      <c r="C152" s="7"/>
      <c r="H152" s="13" t="str">
        <f>_xlfn.IFNA(TEXT(VLOOKUP(B152,Lookup!A149:B301,2,FALSE)*$E$1/440,"#.0#"),"")</f>
        <v/>
      </c>
      <c r="I152" s="14" t="str">
        <f t="shared" si="2"/>
        <v/>
      </c>
    </row>
    <row r="153" spans="1:9" x14ac:dyDescent="0.25">
      <c r="A153" s="12">
        <f>CEILING(SUM($C$5:$C153)/($A$3/$B$3),1)</f>
        <v>8</v>
      </c>
      <c r="B153" s="6"/>
      <c r="C153" s="7"/>
      <c r="H153" s="13" t="str">
        <f>_xlfn.IFNA(TEXT(VLOOKUP(B153,Lookup!A150:B302,2,FALSE)*$E$1/440,"#.0#"),"")</f>
        <v/>
      </c>
      <c r="I153" s="14" t="str">
        <f t="shared" si="2"/>
        <v/>
      </c>
    </row>
    <row r="154" spans="1:9" x14ac:dyDescent="0.25">
      <c r="A154" s="12">
        <f>CEILING(SUM($C$5:$C154)/($A$3/$B$3),1)</f>
        <v>8</v>
      </c>
      <c r="B154" s="6"/>
      <c r="C154" s="7"/>
      <c r="H154" s="13" t="str">
        <f>_xlfn.IFNA(TEXT(VLOOKUP(B154,Lookup!A151:B303,2,FALSE)*$E$1/440,"#.0#"),"")</f>
        <v/>
      </c>
      <c r="I154" s="14" t="str">
        <f t="shared" si="2"/>
        <v/>
      </c>
    </row>
    <row r="155" spans="1:9" x14ac:dyDescent="0.25">
      <c r="A155" s="12">
        <f>CEILING(SUM($C$5:$C155)/($A$3/$B$3),1)</f>
        <v>8</v>
      </c>
      <c r="B155" s="6"/>
      <c r="C155" s="7"/>
      <c r="H155" s="13" t="str">
        <f>_xlfn.IFNA(TEXT(VLOOKUP(B155,Lookup!A152:B304,2,FALSE)*$E$1/440,"#.0#"),"")</f>
        <v/>
      </c>
      <c r="I155" s="14" t="str">
        <f t="shared" si="2"/>
        <v/>
      </c>
    </row>
    <row r="156" spans="1:9" x14ac:dyDescent="0.25">
      <c r="A156" s="12">
        <f>CEILING(SUM($C$5:$C156)/($A$3/$B$3),1)</f>
        <v>8</v>
      </c>
      <c r="B156" s="6"/>
      <c r="C156" s="7"/>
      <c r="H156" s="13" t="str">
        <f>_xlfn.IFNA(TEXT(VLOOKUP(B156,Lookup!A153:B305,2,FALSE)*$E$1/440,"#.0#"),"")</f>
        <v/>
      </c>
      <c r="I156" s="14" t="str">
        <f t="shared" si="2"/>
        <v/>
      </c>
    </row>
    <row r="157" spans="1:9" x14ac:dyDescent="0.25">
      <c r="A157" s="12">
        <f>CEILING(SUM($C$5:$C157)/($A$3/$B$3),1)</f>
        <v>8</v>
      </c>
      <c r="B157" s="6"/>
      <c r="C157" s="7"/>
      <c r="H157" s="13" t="str">
        <f>_xlfn.IFNA(TEXT(VLOOKUP(B157,Lookup!A154:B306,2,FALSE)*$E$1/440,"#.0#"),"")</f>
        <v/>
      </c>
      <c r="I157" s="14" t="str">
        <f t="shared" si="2"/>
        <v/>
      </c>
    </row>
    <row r="158" spans="1:9" x14ac:dyDescent="0.25">
      <c r="A158" s="12">
        <f>CEILING(SUM($C$5:$C158)/($A$3/$B$3),1)</f>
        <v>8</v>
      </c>
      <c r="B158" s="6"/>
      <c r="C158" s="7"/>
      <c r="H158" s="13" t="str">
        <f>_xlfn.IFNA(TEXT(VLOOKUP(B158,Lookup!A155:B307,2,FALSE)*$E$1/440,"#.0#"),"")</f>
        <v/>
      </c>
      <c r="I158" s="14" t="str">
        <f t="shared" si="2"/>
        <v/>
      </c>
    </row>
    <row r="159" spans="1:9" x14ac:dyDescent="0.25">
      <c r="A159" s="12">
        <f>CEILING(SUM($C$5:$C159)/($A$3/$B$3),1)</f>
        <v>8</v>
      </c>
      <c r="B159" s="6"/>
      <c r="C159" s="7"/>
      <c r="H159" s="13" t="str">
        <f>_xlfn.IFNA(TEXT(VLOOKUP(B159,Lookup!A156:B308,2,FALSE)*$E$1/440,"#.0#"),"")</f>
        <v/>
      </c>
      <c r="I159" s="14" t="str">
        <f t="shared" si="2"/>
        <v/>
      </c>
    </row>
    <row r="160" spans="1:9" x14ac:dyDescent="0.25">
      <c r="A160" s="12">
        <f>CEILING(SUM($C$5:$C160)/($A$3/$B$3),1)</f>
        <v>8</v>
      </c>
      <c r="B160" s="6"/>
      <c r="C160" s="7"/>
      <c r="H160" s="13" t="str">
        <f>_xlfn.IFNA(TEXT(VLOOKUP(B160,Lookup!A157:B309,2,FALSE)*$E$1/440,"#.0#"),"")</f>
        <v/>
      </c>
      <c r="I160" s="14" t="str">
        <f t="shared" si="2"/>
        <v/>
      </c>
    </row>
    <row r="161" spans="1:9" x14ac:dyDescent="0.25">
      <c r="A161" s="12">
        <f>CEILING(SUM($C$5:$C161)/($A$3/$B$3),1)</f>
        <v>8</v>
      </c>
      <c r="B161" s="6"/>
      <c r="C161" s="7"/>
      <c r="H161" s="13" t="str">
        <f>_xlfn.IFNA(TEXT(VLOOKUP(B161,Lookup!A158:B310,2,FALSE)*$E$1/440,"#.0#"),"")</f>
        <v/>
      </c>
      <c r="I161" s="14" t="str">
        <f t="shared" si="2"/>
        <v/>
      </c>
    </row>
    <row r="162" spans="1:9" x14ac:dyDescent="0.25">
      <c r="A162" s="12">
        <f>CEILING(SUM($C$5:$C162)/($A$3/$B$3),1)</f>
        <v>8</v>
      </c>
      <c r="B162" s="6"/>
      <c r="C162" s="7"/>
      <c r="H162" s="13" t="str">
        <f>_xlfn.IFNA(TEXT(VLOOKUP(B162,Lookup!A159:B311,2,FALSE)*$E$1/440,"#.0#"),"")</f>
        <v/>
      </c>
      <c r="I162" s="14" t="str">
        <f t="shared" si="2"/>
        <v/>
      </c>
    </row>
    <row r="163" spans="1:9" x14ac:dyDescent="0.25">
      <c r="A163" s="12">
        <f>CEILING(SUM($C$5:$C163)/($A$3/$B$3),1)</f>
        <v>8</v>
      </c>
      <c r="B163" s="6"/>
      <c r="C163" s="7"/>
      <c r="H163" s="13" t="str">
        <f>_xlfn.IFNA(TEXT(VLOOKUP(B163,Lookup!A160:B312,2,FALSE)*$E$1/440,"#.0#"),"")</f>
        <v/>
      </c>
      <c r="I163" s="14" t="str">
        <f t="shared" si="2"/>
        <v/>
      </c>
    </row>
    <row r="164" spans="1:9" x14ac:dyDescent="0.25">
      <c r="A164" s="12">
        <f>CEILING(SUM($C$5:$C164)/($A$3/$B$3),1)</f>
        <v>8</v>
      </c>
      <c r="B164" s="6"/>
      <c r="C164" s="7"/>
      <c r="H164" s="13" t="str">
        <f>_xlfn.IFNA(TEXT(VLOOKUP(B164,Lookup!A161:B313,2,FALSE)*$E$1/440,"#.0#"),"")</f>
        <v/>
      </c>
      <c r="I164" s="14" t="str">
        <f t="shared" si="2"/>
        <v/>
      </c>
    </row>
    <row r="165" spans="1:9" x14ac:dyDescent="0.25">
      <c r="A165" s="12">
        <f>CEILING(SUM($C$5:$C165)/($A$3/$B$3),1)</f>
        <v>8</v>
      </c>
      <c r="B165" s="6"/>
      <c r="C165" s="7"/>
      <c r="H165" s="13" t="str">
        <f>_xlfn.IFNA(TEXT(VLOOKUP(B165,Lookup!A162:B314,2,FALSE)*$E$1/440,"#.0#"),"")</f>
        <v/>
      </c>
      <c r="I165" s="14" t="str">
        <f t="shared" si="2"/>
        <v/>
      </c>
    </row>
    <row r="166" spans="1:9" x14ac:dyDescent="0.25">
      <c r="A166" s="12">
        <f>CEILING(SUM($C$5:$C166)/($A$3/$B$3),1)</f>
        <v>8</v>
      </c>
      <c r="B166" s="6"/>
      <c r="C166" s="7"/>
      <c r="H166" s="13" t="str">
        <f>_xlfn.IFNA(TEXT(VLOOKUP(B166,Lookup!A163:B315,2,FALSE)*$E$1/440,"#.0#"),"")</f>
        <v/>
      </c>
      <c r="I166" s="14" t="str">
        <f t="shared" si="2"/>
        <v/>
      </c>
    </row>
    <row r="167" spans="1:9" x14ac:dyDescent="0.25">
      <c r="A167" s="12">
        <f>CEILING(SUM($C$5:$C167)/($A$3/$B$3),1)</f>
        <v>8</v>
      </c>
      <c r="B167" s="6"/>
      <c r="C167" s="7"/>
      <c r="H167" s="13" t="str">
        <f>_xlfn.IFNA(TEXT(VLOOKUP(B167,Lookup!A164:B316,2,FALSE)*$E$1/440,"#.0#"),"")</f>
        <v/>
      </c>
      <c r="I167" s="14" t="str">
        <f t="shared" si="2"/>
        <v/>
      </c>
    </row>
    <row r="168" spans="1:9" x14ac:dyDescent="0.25">
      <c r="A168" s="12">
        <f>CEILING(SUM($C$5:$C168)/($A$3/$B$3),1)</f>
        <v>8</v>
      </c>
      <c r="B168" s="6"/>
      <c r="C168" s="7"/>
      <c r="H168" s="13" t="str">
        <f>_xlfn.IFNA(TEXT(VLOOKUP(B168,Lookup!A165:B317,2,FALSE)*$E$1/440,"#.0#"),"")</f>
        <v/>
      </c>
      <c r="I168" s="14" t="str">
        <f t="shared" si="2"/>
        <v/>
      </c>
    </row>
    <row r="169" spans="1:9" x14ac:dyDescent="0.25">
      <c r="A169" s="12">
        <f>CEILING(SUM($C$5:$C169)/($A$3/$B$3),1)</f>
        <v>8</v>
      </c>
      <c r="B169" s="6"/>
      <c r="C169" s="7"/>
      <c r="H169" s="13" t="str">
        <f>_xlfn.IFNA(TEXT(VLOOKUP(B169,Lookup!A166:B318,2,FALSE)*$E$1/440,"#.0#"),"")</f>
        <v/>
      </c>
      <c r="I169" s="14" t="str">
        <f t="shared" si="2"/>
        <v/>
      </c>
    </row>
    <row r="170" spans="1:9" x14ac:dyDescent="0.25">
      <c r="A170" s="12">
        <f>CEILING(SUM($C$5:$C170)/($A$3/$B$3),1)</f>
        <v>8</v>
      </c>
      <c r="B170" s="6"/>
      <c r="C170" s="7"/>
      <c r="H170" s="13" t="str">
        <f>_xlfn.IFNA(TEXT(VLOOKUP(B170,Lookup!A167:B319,2,FALSE)*$E$1/440,"#.0#"),"")</f>
        <v/>
      </c>
      <c r="I170" s="14" t="str">
        <f t="shared" si="2"/>
        <v/>
      </c>
    </row>
    <row r="171" spans="1:9" x14ac:dyDescent="0.25">
      <c r="A171" s="12">
        <f>CEILING(SUM($C$5:$C171)/($A$3/$B$3),1)</f>
        <v>8</v>
      </c>
      <c r="B171" s="6"/>
      <c r="C171" s="7"/>
      <c r="H171" s="13" t="str">
        <f>_xlfn.IFNA(TEXT(VLOOKUP(B171,Lookup!A168:B320,2,FALSE)*$E$1/440,"#.0#"),"")</f>
        <v/>
      </c>
      <c r="I171" s="14" t="str">
        <f t="shared" si="2"/>
        <v/>
      </c>
    </row>
    <row r="172" spans="1:9" x14ac:dyDescent="0.25">
      <c r="A172" s="12">
        <f>CEILING(SUM($C$5:$C172)/($A$3/$B$3),1)</f>
        <v>8</v>
      </c>
      <c r="B172" s="6"/>
      <c r="C172" s="7"/>
      <c r="H172" s="13" t="str">
        <f>_xlfn.IFNA(TEXT(VLOOKUP(B172,Lookup!A169:B321,2,FALSE)*$E$1/440,"#.0#"),"")</f>
        <v/>
      </c>
      <c r="I172" s="14" t="str">
        <f t="shared" si="2"/>
        <v/>
      </c>
    </row>
    <row r="173" spans="1:9" x14ac:dyDescent="0.25">
      <c r="A173" s="12">
        <f>CEILING(SUM($C$5:$C173)/($A$3/$B$3),1)</f>
        <v>8</v>
      </c>
      <c r="B173" s="6"/>
      <c r="C173" s="7"/>
      <c r="H173" s="13" t="str">
        <f>_xlfn.IFNA(TEXT(VLOOKUP(B173,Lookup!A170:B322,2,FALSE)*$E$1/440,"#.0#"),"")</f>
        <v/>
      </c>
      <c r="I173" s="14" t="str">
        <f t="shared" si="2"/>
        <v/>
      </c>
    </row>
    <row r="174" spans="1:9" x14ac:dyDescent="0.25">
      <c r="A174" s="12">
        <f>CEILING(SUM($C$5:$C174)/($A$3/$B$3),1)</f>
        <v>8</v>
      </c>
      <c r="B174" s="6"/>
      <c r="C174" s="7"/>
      <c r="H174" s="13" t="str">
        <f>_xlfn.IFNA(TEXT(VLOOKUP(B174,Lookup!A171:B323,2,FALSE)*$E$1/440,"#.0#"),"")</f>
        <v/>
      </c>
      <c r="I174" s="14" t="str">
        <f t="shared" si="2"/>
        <v/>
      </c>
    </row>
    <row r="175" spans="1:9" x14ac:dyDescent="0.25">
      <c r="A175" s="12">
        <f>CEILING(SUM($C$5:$C175)/($A$3/$B$3),1)</f>
        <v>8</v>
      </c>
      <c r="B175" s="6"/>
      <c r="C175" s="7"/>
      <c r="H175" s="13" t="str">
        <f>_xlfn.IFNA(TEXT(VLOOKUP(B175,Lookup!A172:B324,2,FALSE)*$E$1/440,"#.0#"),"")</f>
        <v/>
      </c>
      <c r="I175" s="14" t="str">
        <f t="shared" si="2"/>
        <v/>
      </c>
    </row>
    <row r="176" spans="1:9" x14ac:dyDescent="0.25">
      <c r="A176" s="12">
        <f>CEILING(SUM($C$5:$C176)/($A$3/$B$3),1)</f>
        <v>8</v>
      </c>
      <c r="B176" s="6"/>
      <c r="C176" s="7"/>
      <c r="H176" s="13" t="str">
        <f>_xlfn.IFNA(TEXT(VLOOKUP(B176,Lookup!A173:B325,2,FALSE)*$E$1/440,"#.0#"),"")</f>
        <v/>
      </c>
      <c r="I176" s="14" t="str">
        <f t="shared" si="2"/>
        <v/>
      </c>
    </row>
    <row r="177" spans="1:9" x14ac:dyDescent="0.25">
      <c r="A177" s="12">
        <f>CEILING(SUM($C$5:$C177)/($A$3/$B$3),1)</f>
        <v>8</v>
      </c>
      <c r="B177" s="6"/>
      <c r="C177" s="7"/>
      <c r="H177" s="13" t="str">
        <f>_xlfn.IFNA(TEXT(VLOOKUP(B177,Lookup!A174:B326,2,FALSE)*$E$1/440,"#.0#"),"")</f>
        <v/>
      </c>
      <c r="I177" s="14" t="str">
        <f t="shared" si="2"/>
        <v/>
      </c>
    </row>
    <row r="178" spans="1:9" x14ac:dyDescent="0.25">
      <c r="A178" s="12">
        <f>CEILING(SUM($C$5:$C178)/($A$3/$B$3),1)</f>
        <v>8</v>
      </c>
      <c r="B178" s="6"/>
      <c r="C178" s="7"/>
      <c r="H178" s="13" t="str">
        <f>_xlfn.IFNA(TEXT(VLOOKUP(B178,Lookup!A175:B327,2,FALSE)*$E$1/440,"#.0#"),"")</f>
        <v/>
      </c>
      <c r="I178" s="14" t="str">
        <f t="shared" si="2"/>
        <v/>
      </c>
    </row>
    <row r="179" spans="1:9" x14ac:dyDescent="0.25">
      <c r="A179" s="12">
        <f>CEILING(SUM($C$5:$C179)/($A$3/$B$3),1)</f>
        <v>8</v>
      </c>
      <c r="B179" s="6"/>
      <c r="C179" s="7"/>
      <c r="H179" s="13" t="str">
        <f>_xlfn.IFNA(TEXT(VLOOKUP(B179,Lookup!A176:B328,2,FALSE)*$E$1/440,"#.0#"),"")</f>
        <v/>
      </c>
      <c r="I179" s="14" t="str">
        <f t="shared" si="2"/>
        <v/>
      </c>
    </row>
    <row r="180" spans="1:9" x14ac:dyDescent="0.25">
      <c r="A180" s="12">
        <f>CEILING(SUM($C$5:$C180)/($A$3/$B$3),1)</f>
        <v>8</v>
      </c>
      <c r="B180" s="6"/>
      <c r="C180" s="7"/>
      <c r="H180" s="13" t="str">
        <f>_xlfn.IFNA(TEXT(VLOOKUP(B180,Lookup!A177:B329,2,FALSE)*$E$1/440,"#.0#"),"")</f>
        <v/>
      </c>
      <c r="I180" s="14" t="str">
        <f t="shared" si="2"/>
        <v/>
      </c>
    </row>
    <row r="181" spans="1:9" x14ac:dyDescent="0.25">
      <c r="A181" s="12">
        <f>CEILING(SUM($C$5:$C181)/($A$3/$B$3),1)</f>
        <v>8</v>
      </c>
      <c r="B181" s="6"/>
      <c r="C181" s="7"/>
      <c r="H181" s="13" t="str">
        <f>_xlfn.IFNA(TEXT(VLOOKUP(B181,Lookup!A178:B330,2,FALSE)*$E$1/440,"#.0#"),"")</f>
        <v/>
      </c>
      <c r="I181" s="14" t="str">
        <f t="shared" si="2"/>
        <v/>
      </c>
    </row>
    <row r="182" spans="1:9" x14ac:dyDescent="0.25">
      <c r="A182" s="12">
        <f>CEILING(SUM($C$5:$C182)/($A$3/$B$3),1)</f>
        <v>8</v>
      </c>
      <c r="B182" s="6"/>
      <c r="C182" s="7"/>
      <c r="H182" s="13" t="str">
        <f>_xlfn.IFNA(TEXT(VLOOKUP(B182,Lookup!A179:B331,2,FALSE)*$E$1/440,"#.0#"),"")</f>
        <v/>
      </c>
      <c r="I182" s="14" t="str">
        <f t="shared" si="2"/>
        <v/>
      </c>
    </row>
    <row r="183" spans="1:9" x14ac:dyDescent="0.25">
      <c r="A183" s="12">
        <f>CEILING(SUM($C$5:$C183)/($A$3/$B$3),1)</f>
        <v>8</v>
      </c>
      <c r="B183" s="6"/>
      <c r="C183" s="7"/>
      <c r="H183" s="13" t="str">
        <f>_xlfn.IFNA(TEXT(VLOOKUP(B183,Lookup!A180:B332,2,FALSE)*$E$1/440,"#.0#"),"")</f>
        <v/>
      </c>
      <c r="I183" s="14" t="str">
        <f t="shared" si="2"/>
        <v/>
      </c>
    </row>
    <row r="184" spans="1:9" x14ac:dyDescent="0.25">
      <c r="A184" s="12">
        <f>CEILING(SUM($C$5:$C184)/($A$3/$B$3),1)</f>
        <v>8</v>
      </c>
      <c r="B184" s="6"/>
      <c r="C184" s="7"/>
      <c r="H184" s="13" t="str">
        <f>_xlfn.IFNA(TEXT(VLOOKUP(B184,Lookup!A181:B333,2,FALSE)*$E$1/440,"#.0#"),"")</f>
        <v/>
      </c>
      <c r="I184" s="14" t="str">
        <f t="shared" si="2"/>
        <v/>
      </c>
    </row>
    <row r="185" spans="1:9" x14ac:dyDescent="0.25">
      <c r="A185" s="12">
        <f>CEILING(SUM($C$5:$C185)/($A$3/$B$3),1)</f>
        <v>8</v>
      </c>
      <c r="B185" s="6"/>
      <c r="C185" s="7"/>
      <c r="H185" s="13" t="str">
        <f>_xlfn.IFNA(TEXT(VLOOKUP(B185,Lookup!A182:B334,2,FALSE)*$E$1/440,"#.0#"),"")</f>
        <v/>
      </c>
      <c r="I185" s="14" t="str">
        <f t="shared" si="2"/>
        <v/>
      </c>
    </row>
    <row r="186" spans="1:9" x14ac:dyDescent="0.25">
      <c r="A186" s="12">
        <f>CEILING(SUM($C$5:$C186)/($A$3/$B$3),1)</f>
        <v>8</v>
      </c>
      <c r="B186" s="6"/>
      <c r="C186" s="7"/>
      <c r="H186" s="13" t="str">
        <f>_xlfn.IFNA(TEXT(VLOOKUP(B186,Lookup!A183:B335,2,FALSE)*$E$1/440,"#.0#"),"")</f>
        <v/>
      </c>
      <c r="I186" s="14" t="str">
        <f t="shared" si="2"/>
        <v/>
      </c>
    </row>
    <row r="187" spans="1:9" x14ac:dyDescent="0.25">
      <c r="A187" s="12">
        <f>CEILING(SUM($C$5:$C187)/($A$3/$B$3),1)</f>
        <v>8</v>
      </c>
      <c r="B187" s="6"/>
      <c r="C187" s="7"/>
      <c r="H187" s="13" t="str">
        <f>_xlfn.IFNA(TEXT(VLOOKUP(B187,Lookup!A184:B336,2,FALSE)*$E$1/440,"#.0#"),"")</f>
        <v/>
      </c>
      <c r="I187" s="14" t="str">
        <f t="shared" si="2"/>
        <v/>
      </c>
    </row>
    <row r="188" spans="1:9" x14ac:dyDescent="0.25">
      <c r="A188" s="12">
        <f>CEILING(SUM($C$5:$C188)/($A$3/$B$3),1)</f>
        <v>8</v>
      </c>
      <c r="B188" s="6"/>
      <c r="C188" s="7"/>
      <c r="H188" s="13" t="str">
        <f>_xlfn.IFNA(TEXT(VLOOKUP(B188,Lookup!A185:B337,2,FALSE)*$E$1/440,"#.0#"),"")</f>
        <v/>
      </c>
      <c r="I188" s="14" t="str">
        <f t="shared" si="2"/>
        <v/>
      </c>
    </row>
    <row r="189" spans="1:9" x14ac:dyDescent="0.25">
      <c r="A189" s="12">
        <f>CEILING(SUM($C$5:$C189)/($A$3/$B$3),1)</f>
        <v>8</v>
      </c>
      <c r="B189" s="6"/>
      <c r="C189" s="7"/>
      <c r="H189" s="13" t="str">
        <f>_xlfn.IFNA(TEXT(VLOOKUP(B189,Lookup!A186:B338,2,FALSE)*$E$1/440,"#.0#"),"")</f>
        <v/>
      </c>
      <c r="I189" s="14" t="str">
        <f t="shared" si="2"/>
        <v/>
      </c>
    </row>
    <row r="190" spans="1:9" x14ac:dyDescent="0.25">
      <c r="A190" s="12">
        <f>CEILING(SUM($C$5:$C190)/($A$3/$B$3),1)</f>
        <v>8</v>
      </c>
      <c r="B190" s="6"/>
      <c r="C190" s="7"/>
      <c r="H190" s="13" t="str">
        <f>_xlfn.IFNA(TEXT(VLOOKUP(B190,Lookup!A187:B339,2,FALSE)*$E$1/440,"#.0#"),"")</f>
        <v/>
      </c>
      <c r="I190" s="14" t="str">
        <f t="shared" si="2"/>
        <v/>
      </c>
    </row>
    <row r="191" spans="1:9" x14ac:dyDescent="0.25">
      <c r="A191" s="12">
        <f>CEILING(SUM($C$5:$C191)/($A$3/$B$3),1)</f>
        <v>8</v>
      </c>
      <c r="B191" s="6"/>
      <c r="C191" s="7"/>
      <c r="H191" s="13" t="str">
        <f>_xlfn.IFNA(TEXT(VLOOKUP(B191,Lookup!A188:B340,2,FALSE)*$E$1/440,"#.0#"),"")</f>
        <v/>
      </c>
      <c r="I191" s="14" t="str">
        <f t="shared" si="2"/>
        <v/>
      </c>
    </row>
    <row r="192" spans="1:9" x14ac:dyDescent="0.25">
      <c r="A192" s="12">
        <f>CEILING(SUM($C$5:$C192)/($A$3/$B$3),1)</f>
        <v>8</v>
      </c>
      <c r="B192" s="6"/>
      <c r="C192" s="7"/>
      <c r="H192" s="13" t="str">
        <f>_xlfn.IFNA(TEXT(VLOOKUP(B192,Lookup!A189:B341,2,FALSE)*$E$1/440,"#.0#"),"")</f>
        <v/>
      </c>
      <c r="I192" s="14" t="str">
        <f t="shared" si="2"/>
        <v/>
      </c>
    </row>
    <row r="193" spans="1:9" x14ac:dyDescent="0.25">
      <c r="A193" s="12">
        <f>CEILING(SUM($C$5:$C193)/($A$3/$B$3),1)</f>
        <v>8</v>
      </c>
      <c r="B193" s="6"/>
      <c r="C193" s="7"/>
      <c r="H193" s="13" t="str">
        <f>_xlfn.IFNA(TEXT(VLOOKUP(B193,Lookup!A190:B342,2,FALSE)*$E$1/440,"#.0#"),"")</f>
        <v/>
      </c>
      <c r="I193" s="14" t="str">
        <f t="shared" si="2"/>
        <v/>
      </c>
    </row>
    <row r="194" spans="1:9" x14ac:dyDescent="0.25">
      <c r="A194" s="12">
        <f>CEILING(SUM($C$5:$C194)/($A$3/$B$3),1)</f>
        <v>8</v>
      </c>
      <c r="B194" s="6"/>
      <c r="C194" s="7"/>
      <c r="H194" s="13" t="str">
        <f>_xlfn.IFNA(TEXT(VLOOKUP(B194,Lookup!A191:B343,2,FALSE)*$E$1/440,"#.0#"),"")</f>
        <v/>
      </c>
      <c r="I194" s="14" t="str">
        <f t="shared" si="2"/>
        <v/>
      </c>
    </row>
    <row r="195" spans="1:9" x14ac:dyDescent="0.25">
      <c r="A195" s="12">
        <f>CEILING(SUM($C$5:$C195)/($A$3/$B$3),1)</f>
        <v>8</v>
      </c>
      <c r="B195" s="6"/>
      <c r="C195" s="7"/>
      <c r="H195" s="13" t="str">
        <f>_xlfn.IFNA(TEXT(VLOOKUP(B195,Lookup!A192:B344,2,FALSE)*$E$1/440,"#.0#"),"")</f>
        <v/>
      </c>
      <c r="I195" s="14" t="str">
        <f t="shared" si="2"/>
        <v/>
      </c>
    </row>
    <row r="196" spans="1:9" x14ac:dyDescent="0.25">
      <c r="A196" s="12">
        <f>CEILING(SUM($C$5:$C196)/($A$3/$B$3),1)</f>
        <v>8</v>
      </c>
      <c r="B196" s="6"/>
      <c r="C196" s="7"/>
      <c r="H196" s="13" t="str">
        <f>_xlfn.IFNA(TEXT(VLOOKUP(B196,Lookup!A193:B345,2,FALSE)*$E$1/440,"#.0#"),"")</f>
        <v/>
      </c>
      <c r="I196" s="14" t="str">
        <f t="shared" si="2"/>
        <v/>
      </c>
    </row>
    <row r="197" spans="1:9" x14ac:dyDescent="0.25">
      <c r="A197" s="12">
        <f>CEILING(SUM($C$5:$C197)/($A$3/$B$3),1)</f>
        <v>8</v>
      </c>
      <c r="B197" s="6"/>
      <c r="C197" s="7"/>
      <c r="H197" s="13" t="str">
        <f>_xlfn.IFNA(TEXT(VLOOKUP(B197,Lookup!A194:B346,2,FALSE)*$E$1/440,"#.0#"),"")</f>
        <v/>
      </c>
      <c r="I197" s="14" t="str">
        <f t="shared" si="2"/>
        <v/>
      </c>
    </row>
    <row r="198" spans="1:9" x14ac:dyDescent="0.25">
      <c r="A198" s="12">
        <f>CEILING(SUM($C$5:$C198)/($A$3/$B$3),1)</f>
        <v>8</v>
      </c>
      <c r="B198" s="6"/>
      <c r="C198" s="7"/>
      <c r="H198" s="13" t="str">
        <f>_xlfn.IFNA(TEXT(VLOOKUP(B198,Lookup!A195:B347,2,FALSE)*$E$1/440,"#.0#"),"")</f>
        <v/>
      </c>
      <c r="I198" s="14" t="str">
        <f t="shared" ref="I198:I261" si="3">IF(C198&gt;0,TEXT((60000*$C198*$B$3)/($H$1),"#"),"")</f>
        <v/>
      </c>
    </row>
    <row r="199" spans="1:9" x14ac:dyDescent="0.25">
      <c r="A199" s="12">
        <f>CEILING(SUM($C$5:$C199)/($A$3/$B$3),1)</f>
        <v>8</v>
      </c>
      <c r="B199" s="6"/>
      <c r="C199" s="7"/>
      <c r="H199" s="13" t="str">
        <f>_xlfn.IFNA(TEXT(VLOOKUP(B199,Lookup!A196:B348,2,FALSE)*$E$1/440,"#.0#"),"")</f>
        <v/>
      </c>
      <c r="I199" s="14" t="str">
        <f t="shared" si="3"/>
        <v/>
      </c>
    </row>
    <row r="200" spans="1:9" x14ac:dyDescent="0.25">
      <c r="A200" s="12">
        <f>CEILING(SUM($C$5:$C200)/($A$3/$B$3),1)</f>
        <v>8</v>
      </c>
      <c r="B200" s="6"/>
      <c r="C200" s="7"/>
      <c r="H200" s="13" t="str">
        <f>_xlfn.IFNA(TEXT(VLOOKUP(B200,Lookup!A197:B349,2,FALSE)*$E$1/440,"#.0#"),"")</f>
        <v/>
      </c>
      <c r="I200" s="14" t="str">
        <f t="shared" si="3"/>
        <v/>
      </c>
    </row>
    <row r="201" spans="1:9" x14ac:dyDescent="0.25">
      <c r="A201" s="12">
        <f>CEILING(SUM($C$5:$C201)/($A$3/$B$3),1)</f>
        <v>8</v>
      </c>
      <c r="B201" s="6"/>
      <c r="C201" s="7"/>
      <c r="H201" s="13" t="str">
        <f>_xlfn.IFNA(TEXT(VLOOKUP(B201,Lookup!A198:B350,2,FALSE)*$E$1/440,"#.0#"),"")</f>
        <v/>
      </c>
      <c r="I201" s="14" t="str">
        <f t="shared" si="3"/>
        <v/>
      </c>
    </row>
    <row r="202" spans="1:9" x14ac:dyDescent="0.25">
      <c r="A202" s="12">
        <f>CEILING(SUM($C$5:$C202)/($A$3/$B$3),1)</f>
        <v>8</v>
      </c>
      <c r="B202" s="6"/>
      <c r="C202" s="7"/>
      <c r="H202" s="13" t="str">
        <f>_xlfn.IFNA(TEXT(VLOOKUP(B202,Lookup!A199:B351,2,FALSE)*$E$1/440,"#.0#"),"")</f>
        <v/>
      </c>
      <c r="I202" s="14" t="str">
        <f t="shared" si="3"/>
        <v/>
      </c>
    </row>
    <row r="203" spans="1:9" x14ac:dyDescent="0.25">
      <c r="A203" s="12">
        <f>CEILING(SUM($C$5:$C203)/($A$3/$B$3),1)</f>
        <v>8</v>
      </c>
      <c r="B203" s="6"/>
      <c r="C203" s="7"/>
      <c r="H203" s="13" t="str">
        <f>_xlfn.IFNA(TEXT(VLOOKUP(B203,Lookup!A200:B352,2,FALSE)*$E$1/440,"#.0#"),"")</f>
        <v/>
      </c>
      <c r="I203" s="14" t="str">
        <f t="shared" si="3"/>
        <v/>
      </c>
    </row>
    <row r="204" spans="1:9" x14ac:dyDescent="0.25">
      <c r="A204" s="12">
        <f>CEILING(SUM($C$5:$C204)/($A$3/$B$3),1)</f>
        <v>8</v>
      </c>
      <c r="B204" s="6"/>
      <c r="C204" s="7"/>
      <c r="H204" s="13" t="str">
        <f>_xlfn.IFNA(TEXT(VLOOKUP(B204,Lookup!A201:B353,2,FALSE)*$E$1/440,"#.0#"),"")</f>
        <v/>
      </c>
      <c r="I204" s="14" t="str">
        <f t="shared" si="3"/>
        <v/>
      </c>
    </row>
    <row r="205" spans="1:9" x14ac:dyDescent="0.25">
      <c r="A205" s="12">
        <f>CEILING(SUM($C$5:$C205)/($A$3/$B$3),1)</f>
        <v>8</v>
      </c>
      <c r="B205" s="6"/>
      <c r="C205" s="7"/>
      <c r="H205" s="13" t="str">
        <f>_xlfn.IFNA(TEXT(VLOOKUP(B205,Lookup!A202:B354,2,FALSE)*$E$1/440,"#.0#"),"")</f>
        <v/>
      </c>
      <c r="I205" s="14" t="str">
        <f t="shared" si="3"/>
        <v/>
      </c>
    </row>
    <row r="206" spans="1:9" x14ac:dyDescent="0.25">
      <c r="A206" s="12">
        <f>CEILING(SUM($C$5:$C206)/($A$3/$B$3),1)</f>
        <v>8</v>
      </c>
      <c r="B206" s="6"/>
      <c r="C206" s="7"/>
      <c r="H206" s="13" t="str">
        <f>_xlfn.IFNA(TEXT(VLOOKUP(B206,Lookup!A203:B355,2,FALSE)*$E$1/440,"#.0#"),"")</f>
        <v/>
      </c>
      <c r="I206" s="14" t="str">
        <f t="shared" si="3"/>
        <v/>
      </c>
    </row>
    <row r="207" spans="1:9" x14ac:dyDescent="0.25">
      <c r="A207" s="12">
        <f>CEILING(SUM($C$5:$C207)/($A$3/$B$3),1)</f>
        <v>8</v>
      </c>
      <c r="B207" s="6"/>
      <c r="C207" s="7"/>
      <c r="H207" s="13" t="str">
        <f>_xlfn.IFNA(TEXT(VLOOKUP(B207,Lookup!A204:B356,2,FALSE)*$E$1/440,"#.0#"),"")</f>
        <v/>
      </c>
      <c r="I207" s="14" t="str">
        <f t="shared" si="3"/>
        <v/>
      </c>
    </row>
    <row r="208" spans="1:9" x14ac:dyDescent="0.25">
      <c r="A208" s="12">
        <f>CEILING(SUM($C$5:$C208)/($A$3/$B$3),1)</f>
        <v>8</v>
      </c>
      <c r="B208" s="6"/>
      <c r="C208" s="7"/>
      <c r="H208" s="13" t="str">
        <f>_xlfn.IFNA(TEXT(VLOOKUP(B208,Lookup!A205:B357,2,FALSE)*$E$1/440,"#.0#"),"")</f>
        <v/>
      </c>
      <c r="I208" s="14" t="str">
        <f t="shared" si="3"/>
        <v/>
      </c>
    </row>
    <row r="209" spans="1:9" x14ac:dyDescent="0.25">
      <c r="A209" s="12">
        <f>CEILING(SUM($C$5:$C209)/($A$3/$B$3),1)</f>
        <v>8</v>
      </c>
      <c r="B209" s="6"/>
      <c r="C209" s="7"/>
      <c r="H209" s="13" t="str">
        <f>_xlfn.IFNA(TEXT(VLOOKUP(B209,Lookup!A206:B358,2,FALSE)*$E$1/440,"#.0#"),"")</f>
        <v/>
      </c>
      <c r="I209" s="14" t="str">
        <f t="shared" si="3"/>
        <v/>
      </c>
    </row>
    <row r="210" spans="1:9" x14ac:dyDescent="0.25">
      <c r="A210" s="12">
        <f>CEILING(SUM($C$5:$C210)/($A$3/$B$3),1)</f>
        <v>8</v>
      </c>
      <c r="B210" s="6"/>
      <c r="C210" s="7"/>
      <c r="H210" s="13" t="str">
        <f>_xlfn.IFNA(TEXT(VLOOKUP(B210,Lookup!A207:B359,2,FALSE)*$E$1/440,"#.0#"),"")</f>
        <v/>
      </c>
      <c r="I210" s="14" t="str">
        <f t="shared" si="3"/>
        <v/>
      </c>
    </row>
    <row r="211" spans="1:9" x14ac:dyDescent="0.25">
      <c r="A211" s="12">
        <f>CEILING(SUM($C$5:$C211)/($A$3/$B$3),1)</f>
        <v>8</v>
      </c>
      <c r="B211" s="6"/>
      <c r="C211" s="7"/>
      <c r="H211" s="13" t="str">
        <f>_xlfn.IFNA(TEXT(VLOOKUP(B211,Lookup!A208:B360,2,FALSE)*$E$1/440,"#.0#"),"")</f>
        <v/>
      </c>
      <c r="I211" s="14" t="str">
        <f t="shared" si="3"/>
        <v/>
      </c>
    </row>
    <row r="212" spans="1:9" x14ac:dyDescent="0.25">
      <c r="A212" s="12">
        <f>CEILING(SUM($C$5:$C212)/($A$3/$B$3),1)</f>
        <v>8</v>
      </c>
      <c r="B212" s="6"/>
      <c r="C212" s="7"/>
      <c r="H212" s="13" t="str">
        <f>_xlfn.IFNA(TEXT(VLOOKUP(B212,Lookup!A209:B361,2,FALSE)*$E$1/440,"#.0#"),"")</f>
        <v/>
      </c>
      <c r="I212" s="14" t="str">
        <f t="shared" si="3"/>
        <v/>
      </c>
    </row>
    <row r="213" spans="1:9" x14ac:dyDescent="0.25">
      <c r="A213" s="12">
        <f>CEILING(SUM($C$5:$C213)/($A$3/$B$3),1)</f>
        <v>8</v>
      </c>
      <c r="B213" s="6"/>
      <c r="C213" s="7"/>
      <c r="H213" s="13" t="str">
        <f>_xlfn.IFNA(TEXT(VLOOKUP(B213,Lookup!A210:B362,2,FALSE)*$E$1/440,"#.0#"),"")</f>
        <v/>
      </c>
      <c r="I213" s="14" t="str">
        <f t="shared" si="3"/>
        <v/>
      </c>
    </row>
    <row r="214" spans="1:9" x14ac:dyDescent="0.25">
      <c r="A214" s="12">
        <f>CEILING(SUM($C$5:$C214)/($A$3/$B$3),1)</f>
        <v>8</v>
      </c>
      <c r="B214" s="6"/>
      <c r="C214" s="7"/>
      <c r="H214" s="13" t="str">
        <f>_xlfn.IFNA(TEXT(VLOOKUP(B214,Lookup!A211:B363,2,FALSE)*$E$1/440,"#.0#"),"")</f>
        <v/>
      </c>
      <c r="I214" s="14" t="str">
        <f t="shared" si="3"/>
        <v/>
      </c>
    </row>
    <row r="215" spans="1:9" x14ac:dyDescent="0.25">
      <c r="A215" s="12">
        <f>CEILING(SUM($C$5:$C215)/($A$3/$B$3),1)</f>
        <v>8</v>
      </c>
      <c r="B215" s="6"/>
      <c r="C215" s="7"/>
      <c r="H215" s="13" t="str">
        <f>_xlfn.IFNA(TEXT(VLOOKUP(B215,Lookup!A212:B364,2,FALSE)*$E$1/440,"#.0#"),"")</f>
        <v/>
      </c>
      <c r="I215" s="14" t="str">
        <f t="shared" si="3"/>
        <v/>
      </c>
    </row>
    <row r="216" spans="1:9" x14ac:dyDescent="0.25">
      <c r="A216" s="12">
        <f>CEILING(SUM($C$5:$C216)/($A$3/$B$3),1)</f>
        <v>8</v>
      </c>
      <c r="B216" s="6"/>
      <c r="C216" s="7"/>
      <c r="H216" s="13" t="str">
        <f>_xlfn.IFNA(TEXT(VLOOKUP(B216,Lookup!A213:B365,2,FALSE)*$E$1/440,"#.0#"),"")</f>
        <v/>
      </c>
      <c r="I216" s="14" t="str">
        <f t="shared" si="3"/>
        <v/>
      </c>
    </row>
    <row r="217" spans="1:9" x14ac:dyDescent="0.25">
      <c r="A217" s="12">
        <f>CEILING(SUM($C$5:$C217)/($A$3/$B$3),1)</f>
        <v>8</v>
      </c>
      <c r="B217" s="6"/>
      <c r="C217" s="7"/>
      <c r="H217" s="13" t="str">
        <f>_xlfn.IFNA(TEXT(VLOOKUP(B217,Lookup!A214:B366,2,FALSE)*$E$1/440,"#.0#"),"")</f>
        <v/>
      </c>
      <c r="I217" s="14" t="str">
        <f t="shared" si="3"/>
        <v/>
      </c>
    </row>
    <row r="218" spans="1:9" x14ac:dyDescent="0.25">
      <c r="A218" s="12">
        <f>CEILING(SUM($C$5:$C218)/($A$3/$B$3),1)</f>
        <v>8</v>
      </c>
      <c r="B218" s="6"/>
      <c r="C218" s="7"/>
      <c r="H218" s="13" t="str">
        <f>_xlfn.IFNA(TEXT(VLOOKUP(B218,Lookup!A215:B367,2,FALSE)*$E$1/440,"#.0#"),"")</f>
        <v/>
      </c>
      <c r="I218" s="14" t="str">
        <f t="shared" si="3"/>
        <v/>
      </c>
    </row>
    <row r="219" spans="1:9" x14ac:dyDescent="0.25">
      <c r="A219" s="12">
        <f>CEILING(SUM($C$5:$C219)/($A$3/$B$3),1)</f>
        <v>8</v>
      </c>
      <c r="B219" s="6"/>
      <c r="C219" s="7"/>
      <c r="H219" s="13" t="str">
        <f>_xlfn.IFNA(TEXT(VLOOKUP(B219,Lookup!A216:B368,2,FALSE)*$E$1/440,"#.0#"),"")</f>
        <v/>
      </c>
      <c r="I219" s="14" t="str">
        <f t="shared" si="3"/>
        <v/>
      </c>
    </row>
    <row r="220" spans="1:9" x14ac:dyDescent="0.25">
      <c r="A220" s="12">
        <f>CEILING(SUM($C$5:$C220)/($A$3/$B$3),1)</f>
        <v>8</v>
      </c>
      <c r="B220" s="6"/>
      <c r="C220" s="7"/>
      <c r="H220" s="13" t="str">
        <f>_xlfn.IFNA(TEXT(VLOOKUP(B220,Lookup!A217:B369,2,FALSE)*$E$1/440,"#.0#"),"")</f>
        <v/>
      </c>
      <c r="I220" s="14" t="str">
        <f t="shared" si="3"/>
        <v/>
      </c>
    </row>
    <row r="221" spans="1:9" x14ac:dyDescent="0.25">
      <c r="A221" s="12">
        <f>CEILING(SUM($C$5:$C221)/($A$3/$B$3),1)</f>
        <v>8</v>
      </c>
      <c r="B221" s="6"/>
      <c r="C221" s="7"/>
      <c r="H221" s="13" t="str">
        <f>_xlfn.IFNA(TEXT(VLOOKUP(B221,Lookup!A218:B370,2,FALSE)*$E$1/440,"#.0#"),"")</f>
        <v/>
      </c>
      <c r="I221" s="14" t="str">
        <f t="shared" si="3"/>
        <v/>
      </c>
    </row>
    <row r="222" spans="1:9" x14ac:dyDescent="0.25">
      <c r="A222" s="12">
        <f>CEILING(SUM($C$5:$C222)/($A$3/$B$3),1)</f>
        <v>8</v>
      </c>
      <c r="B222" s="6"/>
      <c r="C222" s="7"/>
      <c r="H222" s="13" t="str">
        <f>_xlfn.IFNA(TEXT(VLOOKUP(B222,Lookup!A219:B371,2,FALSE)*$E$1/440,"#.0#"),"")</f>
        <v/>
      </c>
      <c r="I222" s="14" t="str">
        <f t="shared" si="3"/>
        <v/>
      </c>
    </row>
    <row r="223" spans="1:9" x14ac:dyDescent="0.25">
      <c r="A223" s="12">
        <f>CEILING(SUM($C$5:$C223)/($A$3/$B$3),1)</f>
        <v>8</v>
      </c>
      <c r="B223" s="6"/>
      <c r="C223" s="7"/>
      <c r="H223" s="13" t="str">
        <f>_xlfn.IFNA(TEXT(VLOOKUP(B223,Lookup!A220:B372,2,FALSE)*$E$1/440,"#.0#"),"")</f>
        <v/>
      </c>
      <c r="I223" s="14" t="str">
        <f t="shared" si="3"/>
        <v/>
      </c>
    </row>
    <row r="224" spans="1:9" x14ac:dyDescent="0.25">
      <c r="A224" s="12">
        <f>CEILING(SUM($C$5:$C224)/($A$3/$B$3),1)</f>
        <v>8</v>
      </c>
      <c r="B224" s="6"/>
      <c r="C224" s="7"/>
      <c r="H224" s="13" t="str">
        <f>_xlfn.IFNA(TEXT(VLOOKUP(B224,Lookup!A221:B373,2,FALSE)*$E$1/440,"#.0#"),"")</f>
        <v/>
      </c>
      <c r="I224" s="14" t="str">
        <f t="shared" si="3"/>
        <v/>
      </c>
    </row>
    <row r="225" spans="1:9" x14ac:dyDescent="0.25">
      <c r="A225" s="12">
        <f>CEILING(SUM($C$5:$C225)/($A$3/$B$3),1)</f>
        <v>8</v>
      </c>
      <c r="B225" s="6"/>
      <c r="C225" s="7"/>
      <c r="H225" s="13" t="str">
        <f>_xlfn.IFNA(TEXT(VLOOKUP(B225,Lookup!A222:B374,2,FALSE)*$E$1/440,"#.0#"),"")</f>
        <v/>
      </c>
      <c r="I225" s="14" t="str">
        <f t="shared" si="3"/>
        <v/>
      </c>
    </row>
    <row r="226" spans="1:9" x14ac:dyDescent="0.25">
      <c r="A226" s="12">
        <f>CEILING(SUM($C$5:$C226)/($A$3/$B$3),1)</f>
        <v>8</v>
      </c>
      <c r="B226" s="6"/>
      <c r="C226" s="7"/>
      <c r="H226" s="13" t="str">
        <f>_xlfn.IFNA(TEXT(VLOOKUP(B226,Lookup!A223:B375,2,FALSE)*$E$1/440,"#.0#"),"")</f>
        <v/>
      </c>
      <c r="I226" s="14" t="str">
        <f t="shared" si="3"/>
        <v/>
      </c>
    </row>
    <row r="227" spans="1:9" x14ac:dyDescent="0.25">
      <c r="A227" s="12">
        <f>CEILING(SUM($C$5:$C227)/($A$3/$B$3),1)</f>
        <v>8</v>
      </c>
      <c r="B227" s="6"/>
      <c r="C227" s="7"/>
      <c r="H227" s="13" t="str">
        <f>_xlfn.IFNA(TEXT(VLOOKUP(B227,Lookup!A224:B376,2,FALSE)*$E$1/440,"#.0#"),"")</f>
        <v/>
      </c>
      <c r="I227" s="14" t="str">
        <f t="shared" si="3"/>
        <v/>
      </c>
    </row>
    <row r="228" spans="1:9" x14ac:dyDescent="0.25">
      <c r="A228" s="12">
        <f>CEILING(SUM($C$5:$C228)/($A$3/$B$3),1)</f>
        <v>8</v>
      </c>
      <c r="B228" s="6"/>
      <c r="C228" s="7"/>
      <c r="H228" s="13" t="str">
        <f>_xlfn.IFNA(TEXT(VLOOKUP(B228,Lookup!A225:B377,2,FALSE)*$E$1/440,"#.0#"),"")</f>
        <v/>
      </c>
      <c r="I228" s="14" t="str">
        <f t="shared" si="3"/>
        <v/>
      </c>
    </row>
    <row r="229" spans="1:9" x14ac:dyDescent="0.25">
      <c r="A229" s="12">
        <f>CEILING(SUM($C$5:$C229)/($A$3/$B$3),1)</f>
        <v>8</v>
      </c>
      <c r="B229" s="6"/>
      <c r="C229" s="7"/>
      <c r="H229" s="13" t="str">
        <f>_xlfn.IFNA(TEXT(VLOOKUP(B229,Lookup!A226:B378,2,FALSE)*$E$1/440,"#.0#"),"")</f>
        <v/>
      </c>
      <c r="I229" s="14" t="str">
        <f t="shared" si="3"/>
        <v/>
      </c>
    </row>
    <row r="230" spans="1:9" x14ac:dyDescent="0.25">
      <c r="A230" s="12">
        <f>CEILING(SUM($C$5:$C230)/($A$3/$B$3),1)</f>
        <v>8</v>
      </c>
      <c r="B230" s="6"/>
      <c r="C230" s="7"/>
      <c r="H230" s="13" t="str">
        <f>_xlfn.IFNA(TEXT(VLOOKUP(B230,Lookup!A227:B379,2,FALSE)*$E$1/440,"#.0#"),"")</f>
        <v/>
      </c>
      <c r="I230" s="14" t="str">
        <f t="shared" si="3"/>
        <v/>
      </c>
    </row>
    <row r="231" spans="1:9" x14ac:dyDescent="0.25">
      <c r="A231" s="12">
        <f>CEILING(SUM($C$5:$C231)/($A$3/$B$3),1)</f>
        <v>8</v>
      </c>
      <c r="B231" s="6"/>
      <c r="C231" s="7"/>
      <c r="H231" s="13" t="str">
        <f>_xlfn.IFNA(TEXT(VLOOKUP(B231,Lookup!A228:B380,2,FALSE)*$E$1/440,"#.0#"),"")</f>
        <v/>
      </c>
      <c r="I231" s="14" t="str">
        <f t="shared" si="3"/>
        <v/>
      </c>
    </row>
    <row r="232" spans="1:9" x14ac:dyDescent="0.25">
      <c r="A232" s="12">
        <f>CEILING(SUM($C$5:$C232)/($A$3/$B$3),1)</f>
        <v>8</v>
      </c>
      <c r="B232" s="6"/>
      <c r="C232" s="7"/>
      <c r="H232" s="13" t="str">
        <f>_xlfn.IFNA(TEXT(VLOOKUP(B232,Lookup!A229:B381,2,FALSE)*$E$1/440,"#.0#"),"")</f>
        <v/>
      </c>
      <c r="I232" s="14" t="str">
        <f t="shared" si="3"/>
        <v/>
      </c>
    </row>
    <row r="233" spans="1:9" x14ac:dyDescent="0.25">
      <c r="A233" s="12">
        <f>CEILING(SUM($C$5:$C233)/($A$3/$B$3),1)</f>
        <v>8</v>
      </c>
      <c r="B233" s="6"/>
      <c r="C233" s="7"/>
      <c r="H233" s="13" t="str">
        <f>_xlfn.IFNA(TEXT(VLOOKUP(B233,Lookup!A230:B382,2,FALSE)*$E$1/440,"#.0#"),"")</f>
        <v/>
      </c>
      <c r="I233" s="14" t="str">
        <f t="shared" si="3"/>
        <v/>
      </c>
    </row>
    <row r="234" spans="1:9" x14ac:dyDescent="0.25">
      <c r="A234" s="12">
        <f>CEILING(SUM($C$5:$C234)/($A$3/$B$3),1)</f>
        <v>8</v>
      </c>
      <c r="B234" s="6"/>
      <c r="C234" s="7"/>
      <c r="H234" s="13" t="str">
        <f>_xlfn.IFNA(TEXT(VLOOKUP(B234,Lookup!A231:B383,2,FALSE)*$E$1/440,"#.0#"),"")</f>
        <v/>
      </c>
      <c r="I234" s="14" t="str">
        <f t="shared" si="3"/>
        <v/>
      </c>
    </row>
    <row r="235" spans="1:9" x14ac:dyDescent="0.25">
      <c r="A235" s="12">
        <f>CEILING(SUM($C$5:$C235)/($A$3/$B$3),1)</f>
        <v>8</v>
      </c>
      <c r="B235" s="6"/>
      <c r="C235" s="7"/>
      <c r="H235" s="13" t="str">
        <f>_xlfn.IFNA(TEXT(VLOOKUP(B235,Lookup!A232:B384,2,FALSE)*$E$1/440,"#.0#"),"")</f>
        <v/>
      </c>
      <c r="I235" s="14" t="str">
        <f t="shared" si="3"/>
        <v/>
      </c>
    </row>
    <row r="236" spans="1:9" x14ac:dyDescent="0.25">
      <c r="A236" s="12">
        <f>CEILING(SUM($C$5:$C236)/($A$3/$B$3),1)</f>
        <v>8</v>
      </c>
      <c r="B236" s="6"/>
      <c r="C236" s="7"/>
      <c r="H236" s="13" t="str">
        <f>_xlfn.IFNA(TEXT(VLOOKUP(B236,Lookup!A233:B385,2,FALSE)*$E$1/440,"#.0#"),"")</f>
        <v/>
      </c>
      <c r="I236" s="14" t="str">
        <f t="shared" si="3"/>
        <v/>
      </c>
    </row>
    <row r="237" spans="1:9" x14ac:dyDescent="0.25">
      <c r="A237" s="12">
        <f>CEILING(SUM($C$5:$C237)/($A$3/$B$3),1)</f>
        <v>8</v>
      </c>
      <c r="B237" s="6"/>
      <c r="C237" s="7"/>
      <c r="H237" s="13" t="str">
        <f>_xlfn.IFNA(TEXT(VLOOKUP(B237,Lookup!A234:B386,2,FALSE)*$E$1/440,"#.0#"),"")</f>
        <v/>
      </c>
      <c r="I237" s="14" t="str">
        <f t="shared" si="3"/>
        <v/>
      </c>
    </row>
    <row r="238" spans="1:9" x14ac:dyDescent="0.25">
      <c r="A238" s="12">
        <f>CEILING(SUM($C$5:$C238)/($A$3/$B$3),1)</f>
        <v>8</v>
      </c>
      <c r="B238" s="6"/>
      <c r="C238" s="7"/>
      <c r="H238" s="13" t="str">
        <f>_xlfn.IFNA(TEXT(VLOOKUP(B238,Lookup!A235:B387,2,FALSE)*$E$1/440,"#.0#"),"")</f>
        <v/>
      </c>
      <c r="I238" s="14" t="str">
        <f t="shared" si="3"/>
        <v/>
      </c>
    </row>
    <row r="239" spans="1:9" x14ac:dyDescent="0.25">
      <c r="A239" s="12">
        <f>CEILING(SUM($C$5:$C239)/($A$3/$B$3),1)</f>
        <v>8</v>
      </c>
      <c r="B239" s="6"/>
      <c r="C239" s="7"/>
      <c r="H239" s="13" t="str">
        <f>_xlfn.IFNA(TEXT(VLOOKUP(B239,Lookup!A236:B388,2,FALSE)*$E$1/440,"#.0#"),"")</f>
        <v/>
      </c>
      <c r="I239" s="14" t="str">
        <f t="shared" si="3"/>
        <v/>
      </c>
    </row>
    <row r="240" spans="1:9" x14ac:dyDescent="0.25">
      <c r="A240" s="12">
        <f>CEILING(SUM($C$5:$C240)/($A$3/$B$3),1)</f>
        <v>8</v>
      </c>
      <c r="B240" s="6"/>
      <c r="C240" s="7"/>
      <c r="H240" s="13" t="str">
        <f>_xlfn.IFNA(TEXT(VLOOKUP(B240,Lookup!A237:B389,2,FALSE)*$E$1/440,"#.0#"),"")</f>
        <v/>
      </c>
      <c r="I240" s="14" t="str">
        <f t="shared" si="3"/>
        <v/>
      </c>
    </row>
    <row r="241" spans="1:9" x14ac:dyDescent="0.25">
      <c r="A241" s="12">
        <f>CEILING(SUM($C$5:$C241)/($A$3/$B$3),1)</f>
        <v>8</v>
      </c>
      <c r="B241" s="6"/>
      <c r="C241" s="7"/>
      <c r="H241" s="13" t="str">
        <f>_xlfn.IFNA(TEXT(VLOOKUP(B241,Lookup!A238:B390,2,FALSE)*$E$1/440,"#.0#"),"")</f>
        <v/>
      </c>
      <c r="I241" s="14" t="str">
        <f t="shared" si="3"/>
        <v/>
      </c>
    </row>
    <row r="242" spans="1:9" x14ac:dyDescent="0.25">
      <c r="A242" s="12">
        <f>CEILING(SUM($C$5:$C242)/($A$3/$B$3),1)</f>
        <v>8</v>
      </c>
      <c r="B242" s="6"/>
      <c r="C242" s="7"/>
      <c r="H242" s="13" t="str">
        <f>_xlfn.IFNA(TEXT(VLOOKUP(B242,Lookup!A239:B391,2,FALSE)*$E$1/440,"#.0#"),"")</f>
        <v/>
      </c>
      <c r="I242" s="14" t="str">
        <f t="shared" si="3"/>
        <v/>
      </c>
    </row>
    <row r="243" spans="1:9" x14ac:dyDescent="0.25">
      <c r="A243" s="12">
        <f>CEILING(SUM($C$5:$C243)/($A$3/$B$3),1)</f>
        <v>8</v>
      </c>
      <c r="B243" s="6"/>
      <c r="C243" s="7"/>
      <c r="H243" s="13" t="str">
        <f>_xlfn.IFNA(TEXT(VLOOKUP(B243,Lookup!A240:B392,2,FALSE)*$E$1/440,"#.0#"),"")</f>
        <v/>
      </c>
      <c r="I243" s="14" t="str">
        <f t="shared" si="3"/>
        <v/>
      </c>
    </row>
    <row r="244" spans="1:9" x14ac:dyDescent="0.25">
      <c r="A244" s="12">
        <f>CEILING(SUM($C$5:$C244)/($A$3/$B$3),1)</f>
        <v>8</v>
      </c>
      <c r="B244" s="6"/>
      <c r="C244" s="7"/>
      <c r="H244" s="13" t="str">
        <f>_xlfn.IFNA(TEXT(VLOOKUP(B244,Lookup!A241:B393,2,FALSE)*$E$1/440,"#.0#"),"")</f>
        <v/>
      </c>
      <c r="I244" s="14" t="str">
        <f t="shared" si="3"/>
        <v/>
      </c>
    </row>
    <row r="245" spans="1:9" x14ac:dyDescent="0.25">
      <c r="A245" s="12">
        <f>CEILING(SUM($C$5:$C245)/($A$3/$B$3),1)</f>
        <v>8</v>
      </c>
      <c r="B245" s="6"/>
      <c r="C245" s="7"/>
      <c r="H245" s="13" t="str">
        <f>_xlfn.IFNA(TEXT(VLOOKUP(B245,Lookup!A242:B394,2,FALSE)*$E$1/440,"#.0#"),"")</f>
        <v/>
      </c>
      <c r="I245" s="14" t="str">
        <f t="shared" si="3"/>
        <v/>
      </c>
    </row>
    <row r="246" spans="1:9" x14ac:dyDescent="0.25">
      <c r="A246" s="12">
        <f>CEILING(SUM($C$5:$C246)/($A$3/$B$3),1)</f>
        <v>8</v>
      </c>
      <c r="B246" s="6"/>
      <c r="C246" s="7"/>
      <c r="H246" s="13" t="str">
        <f>_xlfn.IFNA(TEXT(VLOOKUP(B246,Lookup!A243:B395,2,FALSE)*$E$1/440,"#.0#"),"")</f>
        <v/>
      </c>
      <c r="I246" s="14" t="str">
        <f t="shared" si="3"/>
        <v/>
      </c>
    </row>
    <row r="247" spans="1:9" x14ac:dyDescent="0.25">
      <c r="A247" s="12">
        <f>CEILING(SUM($C$5:$C247)/($A$3/$B$3),1)</f>
        <v>8</v>
      </c>
      <c r="B247" s="6"/>
      <c r="C247" s="7"/>
      <c r="H247" s="13" t="str">
        <f>_xlfn.IFNA(TEXT(VLOOKUP(B247,Lookup!A244:B396,2,FALSE)*$E$1/440,"#.0#"),"")</f>
        <v/>
      </c>
      <c r="I247" s="14" t="str">
        <f t="shared" si="3"/>
        <v/>
      </c>
    </row>
    <row r="248" spans="1:9" x14ac:dyDescent="0.25">
      <c r="A248" s="12">
        <f>CEILING(SUM($C$5:$C248)/($A$3/$B$3),1)</f>
        <v>8</v>
      </c>
      <c r="B248" s="6"/>
      <c r="C248" s="7"/>
      <c r="H248" s="13" t="str">
        <f>_xlfn.IFNA(TEXT(VLOOKUP(B248,Lookup!A245:B397,2,FALSE)*$E$1/440,"#.0#"),"")</f>
        <v/>
      </c>
      <c r="I248" s="14" t="str">
        <f t="shared" si="3"/>
        <v/>
      </c>
    </row>
    <row r="249" spans="1:9" x14ac:dyDescent="0.25">
      <c r="A249" s="12">
        <f>CEILING(SUM($C$5:$C249)/($A$3/$B$3),1)</f>
        <v>8</v>
      </c>
      <c r="B249" s="6"/>
      <c r="C249" s="7"/>
      <c r="H249" s="13" t="str">
        <f>_xlfn.IFNA(TEXT(VLOOKUP(B249,Lookup!A246:B398,2,FALSE)*$E$1/440,"#.0#"),"")</f>
        <v/>
      </c>
      <c r="I249" s="14" t="str">
        <f t="shared" si="3"/>
        <v/>
      </c>
    </row>
    <row r="250" spans="1:9" x14ac:dyDescent="0.25">
      <c r="A250" s="12">
        <f>CEILING(SUM($C$5:$C250)/($A$3/$B$3),1)</f>
        <v>8</v>
      </c>
      <c r="B250" s="6"/>
      <c r="C250" s="7"/>
      <c r="H250" s="13" t="str">
        <f>_xlfn.IFNA(TEXT(VLOOKUP(B250,Lookup!A247:B399,2,FALSE)*$E$1/440,"#.0#"),"")</f>
        <v/>
      </c>
      <c r="I250" s="14" t="str">
        <f t="shared" si="3"/>
        <v/>
      </c>
    </row>
    <row r="251" spans="1:9" x14ac:dyDescent="0.25">
      <c r="A251" s="12">
        <f>CEILING(SUM($C$5:$C251)/($A$3/$B$3),1)</f>
        <v>8</v>
      </c>
      <c r="B251" s="6"/>
      <c r="C251" s="7"/>
      <c r="H251" s="13" t="str">
        <f>_xlfn.IFNA(TEXT(VLOOKUP(B251,Lookup!A248:B400,2,FALSE)*$E$1/440,"#.0#"),"")</f>
        <v/>
      </c>
      <c r="I251" s="14" t="str">
        <f t="shared" si="3"/>
        <v/>
      </c>
    </row>
    <row r="252" spans="1:9" x14ac:dyDescent="0.25">
      <c r="A252" s="12">
        <f>CEILING(SUM($C$5:$C252)/($A$3/$B$3),1)</f>
        <v>8</v>
      </c>
      <c r="B252" s="6"/>
      <c r="C252" s="7"/>
      <c r="H252" s="13" t="str">
        <f>_xlfn.IFNA(TEXT(VLOOKUP(B252,Lookup!A249:B401,2,FALSE)*$E$1/440,"#.0#"),"")</f>
        <v/>
      </c>
      <c r="I252" s="14" t="str">
        <f t="shared" si="3"/>
        <v/>
      </c>
    </row>
    <row r="253" spans="1:9" x14ac:dyDescent="0.25">
      <c r="A253" s="12">
        <f>CEILING(SUM($C$5:$C253)/($A$3/$B$3),1)</f>
        <v>8</v>
      </c>
      <c r="B253" s="6"/>
      <c r="C253" s="7"/>
      <c r="H253" s="13" t="str">
        <f>_xlfn.IFNA(TEXT(VLOOKUP(B253,Lookup!A250:B402,2,FALSE)*$E$1/440,"#.0#"),"")</f>
        <v/>
      </c>
      <c r="I253" s="14" t="str">
        <f t="shared" si="3"/>
        <v/>
      </c>
    </row>
    <row r="254" spans="1:9" x14ac:dyDescent="0.25">
      <c r="A254" s="12">
        <f>CEILING(SUM($C$5:$C254)/($A$3/$B$3),1)</f>
        <v>8</v>
      </c>
      <c r="B254" s="6"/>
      <c r="C254" s="7"/>
      <c r="H254" s="13" t="str">
        <f>_xlfn.IFNA(TEXT(VLOOKUP(B254,Lookup!A251:B403,2,FALSE)*$E$1/440,"#.0#"),"")</f>
        <v/>
      </c>
      <c r="I254" s="14" t="str">
        <f t="shared" si="3"/>
        <v/>
      </c>
    </row>
    <row r="255" spans="1:9" x14ac:dyDescent="0.25">
      <c r="A255" s="12">
        <f>CEILING(SUM($C$5:$C255)/($A$3/$B$3),1)</f>
        <v>8</v>
      </c>
      <c r="B255" s="6"/>
      <c r="C255" s="7"/>
      <c r="H255" s="13" t="str">
        <f>_xlfn.IFNA(TEXT(VLOOKUP(B255,Lookup!A252:B404,2,FALSE)*$E$1/440,"#.0#"),"")</f>
        <v/>
      </c>
      <c r="I255" s="14" t="str">
        <f t="shared" si="3"/>
        <v/>
      </c>
    </row>
    <row r="256" spans="1:9" x14ac:dyDescent="0.25">
      <c r="A256" s="12">
        <f>CEILING(SUM($C$5:$C256)/($A$3/$B$3),1)</f>
        <v>8</v>
      </c>
      <c r="B256" s="6"/>
      <c r="C256" s="7"/>
      <c r="H256" s="13" t="str">
        <f>_xlfn.IFNA(TEXT(VLOOKUP(B256,Lookup!A253:B405,2,FALSE)*$E$1/440,"#.0#"),"")</f>
        <v/>
      </c>
      <c r="I256" s="14" t="str">
        <f t="shared" si="3"/>
        <v/>
      </c>
    </row>
    <row r="257" spans="1:9" x14ac:dyDescent="0.25">
      <c r="A257" s="12">
        <f>CEILING(SUM($C$5:$C257)/($A$3/$B$3),1)</f>
        <v>8</v>
      </c>
      <c r="B257" s="6"/>
      <c r="C257" s="7"/>
      <c r="H257" s="13" t="str">
        <f>_xlfn.IFNA(TEXT(VLOOKUP(B257,Lookup!A254:B406,2,FALSE)*$E$1/440,"#.0#"),"")</f>
        <v/>
      </c>
      <c r="I257" s="14" t="str">
        <f t="shared" si="3"/>
        <v/>
      </c>
    </row>
    <row r="258" spans="1:9" x14ac:dyDescent="0.25">
      <c r="A258" s="12">
        <f>CEILING(SUM($C$5:$C258)/($A$3/$B$3),1)</f>
        <v>8</v>
      </c>
      <c r="B258" s="6"/>
      <c r="C258" s="7"/>
      <c r="H258" s="13" t="str">
        <f>_xlfn.IFNA(TEXT(VLOOKUP(B258,Lookup!A255:B407,2,FALSE)*$E$1/440,"#.0#"),"")</f>
        <v/>
      </c>
      <c r="I258" s="14" t="str">
        <f t="shared" si="3"/>
        <v/>
      </c>
    </row>
    <row r="259" spans="1:9" x14ac:dyDescent="0.25">
      <c r="A259" s="12">
        <f>CEILING(SUM($C$5:$C259)/($A$3/$B$3),1)</f>
        <v>8</v>
      </c>
      <c r="B259" s="6"/>
      <c r="C259" s="7"/>
      <c r="H259" s="13" t="str">
        <f>_xlfn.IFNA(TEXT(VLOOKUP(B259,Lookup!A256:B408,2,FALSE)*$E$1/440,"#.0#"),"")</f>
        <v/>
      </c>
      <c r="I259" s="14" t="str">
        <f t="shared" si="3"/>
        <v/>
      </c>
    </row>
    <row r="260" spans="1:9" x14ac:dyDescent="0.25">
      <c r="A260" s="12">
        <f>CEILING(SUM($C$5:$C260)/($A$3/$B$3),1)</f>
        <v>8</v>
      </c>
      <c r="B260" s="6"/>
      <c r="C260" s="7"/>
      <c r="H260" s="13" t="str">
        <f>_xlfn.IFNA(TEXT(VLOOKUP(B260,Lookup!A257:B409,2,FALSE)*$E$1/440,"#.0#"),"")</f>
        <v/>
      </c>
      <c r="I260" s="14" t="str">
        <f t="shared" si="3"/>
        <v/>
      </c>
    </row>
    <row r="261" spans="1:9" x14ac:dyDescent="0.25">
      <c r="A261" s="12">
        <f>CEILING(SUM($C$5:$C261)/($A$3/$B$3),1)</f>
        <v>8</v>
      </c>
      <c r="B261" s="6"/>
      <c r="C261" s="7"/>
      <c r="H261" s="13" t="str">
        <f>_xlfn.IFNA(TEXT(VLOOKUP(B261,Lookup!A258:B410,2,FALSE)*$E$1/440,"#.0#"),"")</f>
        <v/>
      </c>
      <c r="I261" s="14" t="str">
        <f t="shared" si="3"/>
        <v/>
      </c>
    </row>
    <row r="262" spans="1:9" x14ac:dyDescent="0.25">
      <c r="A262" s="12">
        <f>CEILING(SUM($C$5:$C262)/($A$3/$B$3),1)</f>
        <v>8</v>
      </c>
      <c r="B262" s="6"/>
      <c r="C262" s="7"/>
      <c r="H262" s="13" t="str">
        <f>_xlfn.IFNA(TEXT(VLOOKUP(B262,Lookup!A259:B411,2,FALSE)*$E$1/440,"#.0#"),"")</f>
        <v/>
      </c>
      <c r="I262" s="14" t="str">
        <f t="shared" ref="I262:I325" si="4">IF(C262&gt;0,TEXT((60000*$C262*$B$3)/($H$1),"#"),"")</f>
        <v/>
      </c>
    </row>
    <row r="263" spans="1:9" x14ac:dyDescent="0.25">
      <c r="A263" s="12">
        <f>CEILING(SUM($C$5:$C263)/($A$3/$B$3),1)</f>
        <v>8</v>
      </c>
      <c r="B263" s="6"/>
      <c r="C263" s="7"/>
      <c r="H263" s="13" t="str">
        <f>_xlfn.IFNA(TEXT(VLOOKUP(B263,Lookup!A260:B412,2,FALSE)*$E$1/440,"#.0#"),"")</f>
        <v/>
      </c>
      <c r="I263" s="14" t="str">
        <f t="shared" si="4"/>
        <v/>
      </c>
    </row>
    <row r="264" spans="1:9" x14ac:dyDescent="0.25">
      <c r="A264" s="12">
        <f>CEILING(SUM($C$5:$C264)/($A$3/$B$3),1)</f>
        <v>8</v>
      </c>
      <c r="B264" s="6"/>
      <c r="C264" s="7"/>
      <c r="H264" s="13" t="str">
        <f>_xlfn.IFNA(TEXT(VLOOKUP(B264,Lookup!A261:B413,2,FALSE)*$E$1/440,"#.0#"),"")</f>
        <v/>
      </c>
      <c r="I264" s="14" t="str">
        <f t="shared" si="4"/>
        <v/>
      </c>
    </row>
    <row r="265" spans="1:9" x14ac:dyDescent="0.25">
      <c r="A265" s="12">
        <f>CEILING(SUM($C$5:$C265)/($A$3/$B$3),1)</f>
        <v>8</v>
      </c>
      <c r="B265" s="6"/>
      <c r="C265" s="7"/>
      <c r="H265" s="13" t="str">
        <f>_xlfn.IFNA(TEXT(VLOOKUP(B265,Lookup!A262:B414,2,FALSE)*$E$1/440,"#.0#"),"")</f>
        <v/>
      </c>
      <c r="I265" s="14" t="str">
        <f t="shared" si="4"/>
        <v/>
      </c>
    </row>
    <row r="266" spans="1:9" x14ac:dyDescent="0.25">
      <c r="A266" s="12">
        <f>CEILING(SUM($C$5:$C266)/($A$3/$B$3),1)</f>
        <v>8</v>
      </c>
      <c r="B266" s="6"/>
      <c r="C266" s="7"/>
      <c r="H266" s="13" t="str">
        <f>_xlfn.IFNA(TEXT(VLOOKUP(B266,Lookup!A263:B415,2,FALSE)*$E$1/440,"#.0#"),"")</f>
        <v/>
      </c>
      <c r="I266" s="14" t="str">
        <f t="shared" si="4"/>
        <v/>
      </c>
    </row>
    <row r="267" spans="1:9" x14ac:dyDescent="0.25">
      <c r="A267" s="12">
        <f>CEILING(SUM($C$5:$C267)/($A$3/$B$3),1)</f>
        <v>8</v>
      </c>
      <c r="B267" s="6"/>
      <c r="C267" s="7"/>
      <c r="H267" s="13" t="str">
        <f>_xlfn.IFNA(TEXT(VLOOKUP(B267,Lookup!A264:B416,2,FALSE)*$E$1/440,"#.0#"),"")</f>
        <v/>
      </c>
      <c r="I267" s="14" t="str">
        <f t="shared" si="4"/>
        <v/>
      </c>
    </row>
    <row r="268" spans="1:9" x14ac:dyDescent="0.25">
      <c r="A268" s="12">
        <f>CEILING(SUM($C$5:$C268)/($A$3/$B$3),1)</f>
        <v>8</v>
      </c>
      <c r="B268" s="6"/>
      <c r="C268" s="7"/>
      <c r="H268" s="13" t="str">
        <f>_xlfn.IFNA(TEXT(VLOOKUP(B268,Lookup!A265:B417,2,FALSE)*$E$1/440,"#.0#"),"")</f>
        <v/>
      </c>
      <c r="I268" s="14" t="str">
        <f t="shared" si="4"/>
        <v/>
      </c>
    </row>
    <row r="269" spans="1:9" x14ac:dyDescent="0.25">
      <c r="A269" s="12">
        <f>CEILING(SUM($C$5:$C269)/($A$3/$B$3),1)</f>
        <v>8</v>
      </c>
      <c r="B269" s="6"/>
      <c r="C269" s="7"/>
      <c r="H269" s="13" t="str">
        <f>_xlfn.IFNA(TEXT(VLOOKUP(B269,Lookup!A266:B418,2,FALSE)*$E$1/440,"#.0#"),"")</f>
        <v/>
      </c>
      <c r="I269" s="14" t="str">
        <f t="shared" si="4"/>
        <v/>
      </c>
    </row>
    <row r="270" spans="1:9" x14ac:dyDescent="0.25">
      <c r="A270" s="12">
        <f>CEILING(SUM($C$5:$C270)/($A$3/$B$3),1)</f>
        <v>8</v>
      </c>
      <c r="B270" s="6"/>
      <c r="C270" s="7"/>
      <c r="H270" s="13" t="str">
        <f>_xlfn.IFNA(TEXT(VLOOKUP(B270,Lookup!A267:B419,2,FALSE)*$E$1/440,"#.0#"),"")</f>
        <v/>
      </c>
      <c r="I270" s="14" t="str">
        <f t="shared" si="4"/>
        <v/>
      </c>
    </row>
    <row r="271" spans="1:9" x14ac:dyDescent="0.25">
      <c r="A271" s="12">
        <f>CEILING(SUM($C$5:$C271)/($A$3/$B$3),1)</f>
        <v>8</v>
      </c>
      <c r="B271" s="6"/>
      <c r="C271" s="7"/>
      <c r="H271" s="13" t="str">
        <f>_xlfn.IFNA(TEXT(VLOOKUP(B271,Lookup!A268:B420,2,FALSE)*$E$1/440,"#.0#"),"")</f>
        <v/>
      </c>
      <c r="I271" s="14" t="str">
        <f t="shared" si="4"/>
        <v/>
      </c>
    </row>
    <row r="272" spans="1:9" x14ac:dyDescent="0.25">
      <c r="A272" s="12">
        <f>CEILING(SUM($C$5:$C272)/($A$3/$B$3),1)</f>
        <v>8</v>
      </c>
      <c r="B272" s="6"/>
      <c r="C272" s="7"/>
      <c r="H272" s="13" t="str">
        <f>_xlfn.IFNA(TEXT(VLOOKUP(B272,Lookup!A269:B421,2,FALSE)*$E$1/440,"#.0#"),"")</f>
        <v/>
      </c>
      <c r="I272" s="14" t="str">
        <f t="shared" si="4"/>
        <v/>
      </c>
    </row>
    <row r="273" spans="1:9" x14ac:dyDescent="0.25">
      <c r="A273" s="12">
        <f>CEILING(SUM($C$5:$C273)/($A$3/$B$3),1)</f>
        <v>8</v>
      </c>
      <c r="B273" s="6"/>
      <c r="C273" s="7"/>
      <c r="H273" s="13" t="str">
        <f>_xlfn.IFNA(TEXT(VLOOKUP(B273,Lookup!A270:B422,2,FALSE)*$E$1/440,"#.0#"),"")</f>
        <v/>
      </c>
      <c r="I273" s="14" t="str">
        <f t="shared" si="4"/>
        <v/>
      </c>
    </row>
    <row r="274" spans="1:9" x14ac:dyDescent="0.25">
      <c r="A274" s="12">
        <f>CEILING(SUM($C$5:$C274)/($A$3/$B$3),1)</f>
        <v>8</v>
      </c>
      <c r="B274" s="6"/>
      <c r="C274" s="7"/>
      <c r="H274" s="13" t="str">
        <f>_xlfn.IFNA(TEXT(VLOOKUP(B274,Lookup!A271:B423,2,FALSE)*$E$1/440,"#.0#"),"")</f>
        <v/>
      </c>
      <c r="I274" s="14" t="str">
        <f t="shared" si="4"/>
        <v/>
      </c>
    </row>
    <row r="275" spans="1:9" x14ac:dyDescent="0.25">
      <c r="A275" s="12">
        <f>CEILING(SUM($C$5:$C275)/($A$3/$B$3),1)</f>
        <v>8</v>
      </c>
      <c r="B275" s="6"/>
      <c r="C275" s="7"/>
      <c r="H275" s="13" t="str">
        <f>_xlfn.IFNA(TEXT(VLOOKUP(B275,Lookup!A272:B424,2,FALSE)*$E$1/440,"#.0#"),"")</f>
        <v/>
      </c>
      <c r="I275" s="14" t="str">
        <f t="shared" si="4"/>
        <v/>
      </c>
    </row>
    <row r="276" spans="1:9" x14ac:dyDescent="0.25">
      <c r="A276" s="12">
        <f>CEILING(SUM($C$5:$C276)/($A$3/$B$3),1)</f>
        <v>8</v>
      </c>
      <c r="B276" s="6"/>
      <c r="C276" s="7"/>
      <c r="H276" s="13" t="str">
        <f>_xlfn.IFNA(TEXT(VLOOKUP(B276,Lookup!A273:B425,2,FALSE)*$E$1/440,"#.0#"),"")</f>
        <v/>
      </c>
      <c r="I276" s="14" t="str">
        <f t="shared" si="4"/>
        <v/>
      </c>
    </row>
    <row r="277" spans="1:9" x14ac:dyDescent="0.25">
      <c r="A277" s="12">
        <f>CEILING(SUM($C$5:$C277)/($A$3/$B$3),1)</f>
        <v>8</v>
      </c>
      <c r="B277" s="6"/>
      <c r="C277" s="7"/>
      <c r="H277" s="13" t="str">
        <f>_xlfn.IFNA(TEXT(VLOOKUP(B277,Lookup!A274:B426,2,FALSE)*$E$1/440,"#.0#"),"")</f>
        <v/>
      </c>
      <c r="I277" s="14" t="str">
        <f t="shared" si="4"/>
        <v/>
      </c>
    </row>
    <row r="278" spans="1:9" x14ac:dyDescent="0.25">
      <c r="A278" s="12">
        <f>CEILING(SUM($C$5:$C278)/($A$3/$B$3),1)</f>
        <v>8</v>
      </c>
      <c r="B278" s="6"/>
      <c r="C278" s="7"/>
      <c r="H278" s="13" t="str">
        <f>_xlfn.IFNA(TEXT(VLOOKUP(B278,Lookup!A275:B427,2,FALSE)*$E$1/440,"#.0#"),"")</f>
        <v/>
      </c>
      <c r="I278" s="14" t="str">
        <f t="shared" si="4"/>
        <v/>
      </c>
    </row>
    <row r="279" spans="1:9" x14ac:dyDescent="0.25">
      <c r="A279" s="12">
        <f>CEILING(SUM($C$5:$C279)/($A$3/$B$3),1)</f>
        <v>8</v>
      </c>
      <c r="B279" s="6"/>
      <c r="C279" s="7"/>
      <c r="H279" s="13" t="str">
        <f>_xlfn.IFNA(TEXT(VLOOKUP(B279,Lookup!A276:B428,2,FALSE)*$E$1/440,"#.0#"),"")</f>
        <v/>
      </c>
      <c r="I279" s="14" t="str">
        <f t="shared" si="4"/>
        <v/>
      </c>
    </row>
    <row r="280" spans="1:9" x14ac:dyDescent="0.25">
      <c r="A280" s="12">
        <f>CEILING(SUM($C$5:$C280)/($A$3/$B$3),1)</f>
        <v>8</v>
      </c>
      <c r="B280" s="6"/>
      <c r="C280" s="7"/>
      <c r="H280" s="13" t="str">
        <f>_xlfn.IFNA(TEXT(VLOOKUP(B280,Lookup!A277:B429,2,FALSE)*$E$1/440,"#.0#"),"")</f>
        <v/>
      </c>
      <c r="I280" s="14" t="str">
        <f t="shared" si="4"/>
        <v/>
      </c>
    </row>
    <row r="281" spans="1:9" x14ac:dyDescent="0.25">
      <c r="A281" s="12">
        <f>CEILING(SUM($C$5:$C281)/($A$3/$B$3),1)</f>
        <v>8</v>
      </c>
      <c r="B281" s="6"/>
      <c r="C281" s="7"/>
      <c r="H281" s="13" t="str">
        <f>_xlfn.IFNA(TEXT(VLOOKUP(B281,Lookup!A278:B430,2,FALSE)*$E$1/440,"#.0#"),"")</f>
        <v/>
      </c>
      <c r="I281" s="14" t="str">
        <f t="shared" si="4"/>
        <v/>
      </c>
    </row>
    <row r="282" spans="1:9" x14ac:dyDescent="0.25">
      <c r="A282" s="12">
        <f>CEILING(SUM($C$5:$C282)/($A$3/$B$3),1)</f>
        <v>8</v>
      </c>
      <c r="B282" s="6"/>
      <c r="C282" s="7"/>
      <c r="H282" s="13" t="str">
        <f>_xlfn.IFNA(TEXT(VLOOKUP(B282,Lookup!A279:B431,2,FALSE)*$E$1/440,"#.0#"),"")</f>
        <v/>
      </c>
      <c r="I282" s="14" t="str">
        <f t="shared" si="4"/>
        <v/>
      </c>
    </row>
    <row r="283" spans="1:9" x14ac:dyDescent="0.25">
      <c r="A283" s="12">
        <f>CEILING(SUM($C$5:$C283)/($A$3/$B$3),1)</f>
        <v>8</v>
      </c>
      <c r="B283" s="6"/>
      <c r="C283" s="7"/>
      <c r="H283" s="13" t="str">
        <f>_xlfn.IFNA(TEXT(VLOOKUP(B283,Lookup!A280:B432,2,FALSE)*$E$1/440,"#.0#"),"")</f>
        <v/>
      </c>
      <c r="I283" s="14" t="str">
        <f t="shared" si="4"/>
        <v/>
      </c>
    </row>
    <row r="284" spans="1:9" x14ac:dyDescent="0.25">
      <c r="A284" s="12">
        <f>CEILING(SUM($C$5:$C284)/($A$3/$B$3),1)</f>
        <v>8</v>
      </c>
      <c r="B284" s="6"/>
      <c r="C284" s="7"/>
      <c r="H284" s="13" t="str">
        <f>_xlfn.IFNA(TEXT(VLOOKUP(B284,Lookup!A281:B433,2,FALSE)*$E$1/440,"#.0#"),"")</f>
        <v/>
      </c>
      <c r="I284" s="14" t="str">
        <f t="shared" si="4"/>
        <v/>
      </c>
    </row>
    <row r="285" spans="1:9" x14ac:dyDescent="0.25">
      <c r="A285" s="12">
        <f>CEILING(SUM($C$5:$C285)/($A$3/$B$3),1)</f>
        <v>8</v>
      </c>
      <c r="B285" s="6"/>
      <c r="C285" s="7"/>
      <c r="H285" s="13" t="str">
        <f>_xlfn.IFNA(TEXT(VLOOKUP(B285,Lookup!A282:B434,2,FALSE)*$E$1/440,"#.0#"),"")</f>
        <v/>
      </c>
      <c r="I285" s="14" t="str">
        <f t="shared" si="4"/>
        <v/>
      </c>
    </row>
    <row r="286" spans="1:9" x14ac:dyDescent="0.25">
      <c r="A286" s="12">
        <f>CEILING(SUM($C$5:$C286)/($A$3/$B$3),1)</f>
        <v>8</v>
      </c>
      <c r="B286" s="6"/>
      <c r="C286" s="7"/>
      <c r="H286" s="13" t="str">
        <f>_xlfn.IFNA(TEXT(VLOOKUP(B286,Lookup!A283:B435,2,FALSE)*$E$1/440,"#.0#"),"")</f>
        <v/>
      </c>
      <c r="I286" s="14" t="str">
        <f t="shared" si="4"/>
        <v/>
      </c>
    </row>
    <row r="287" spans="1:9" x14ac:dyDescent="0.25">
      <c r="A287" s="12">
        <f>CEILING(SUM($C$5:$C287)/($A$3/$B$3),1)</f>
        <v>8</v>
      </c>
      <c r="B287" s="6"/>
      <c r="C287" s="7"/>
      <c r="H287" s="13" t="str">
        <f>_xlfn.IFNA(TEXT(VLOOKUP(B287,Lookup!A284:B436,2,FALSE)*$E$1/440,"#.0#"),"")</f>
        <v/>
      </c>
      <c r="I287" s="14" t="str">
        <f t="shared" si="4"/>
        <v/>
      </c>
    </row>
    <row r="288" spans="1:9" x14ac:dyDescent="0.25">
      <c r="A288" s="12">
        <f>CEILING(SUM($C$5:$C288)/($A$3/$B$3),1)</f>
        <v>8</v>
      </c>
      <c r="B288" s="6"/>
      <c r="C288" s="7"/>
      <c r="H288" s="13" t="str">
        <f>_xlfn.IFNA(TEXT(VLOOKUP(B288,Lookup!A285:B437,2,FALSE)*$E$1/440,"#.0#"),"")</f>
        <v/>
      </c>
      <c r="I288" s="14" t="str">
        <f t="shared" si="4"/>
        <v/>
      </c>
    </row>
    <row r="289" spans="1:9" x14ac:dyDescent="0.25">
      <c r="A289" s="12">
        <f>CEILING(SUM($C$5:$C289)/($A$3/$B$3),1)</f>
        <v>8</v>
      </c>
      <c r="B289" s="6"/>
      <c r="C289" s="7"/>
      <c r="H289" s="13" t="str">
        <f>_xlfn.IFNA(TEXT(VLOOKUP(B289,Lookup!A286:B438,2,FALSE)*$E$1/440,"#.0#"),"")</f>
        <v/>
      </c>
      <c r="I289" s="14" t="str">
        <f t="shared" si="4"/>
        <v/>
      </c>
    </row>
    <row r="290" spans="1:9" x14ac:dyDescent="0.25">
      <c r="A290" s="12">
        <f>CEILING(SUM($C$5:$C290)/($A$3/$B$3),1)</f>
        <v>8</v>
      </c>
      <c r="B290" s="6"/>
      <c r="C290" s="7"/>
      <c r="H290" s="13" t="str">
        <f>_xlfn.IFNA(TEXT(VLOOKUP(B290,Lookup!A287:B439,2,FALSE)*$E$1/440,"#.0#"),"")</f>
        <v/>
      </c>
      <c r="I290" s="14" t="str">
        <f t="shared" si="4"/>
        <v/>
      </c>
    </row>
    <row r="291" spans="1:9" x14ac:dyDescent="0.25">
      <c r="A291" s="12">
        <f>CEILING(SUM($C$5:$C291)/($A$3/$B$3),1)</f>
        <v>8</v>
      </c>
      <c r="B291" s="6"/>
      <c r="C291" s="7"/>
      <c r="H291" s="13" t="str">
        <f>_xlfn.IFNA(TEXT(VLOOKUP(B291,Lookup!A288:B440,2,FALSE)*$E$1/440,"#.0#"),"")</f>
        <v/>
      </c>
      <c r="I291" s="14" t="str">
        <f t="shared" si="4"/>
        <v/>
      </c>
    </row>
    <row r="292" spans="1:9" x14ac:dyDescent="0.25">
      <c r="A292" s="12">
        <f>CEILING(SUM($C$5:$C292)/($A$3/$B$3),1)</f>
        <v>8</v>
      </c>
      <c r="B292" s="6"/>
      <c r="C292" s="7"/>
      <c r="H292" s="13" t="str">
        <f>_xlfn.IFNA(TEXT(VLOOKUP(B292,Lookup!A289:B441,2,FALSE)*$E$1/440,"#.0#"),"")</f>
        <v/>
      </c>
      <c r="I292" s="14" t="str">
        <f t="shared" si="4"/>
        <v/>
      </c>
    </row>
    <row r="293" spans="1:9" x14ac:dyDescent="0.25">
      <c r="A293" s="12">
        <f>CEILING(SUM($C$5:$C293)/($A$3/$B$3),1)</f>
        <v>8</v>
      </c>
      <c r="B293" s="6"/>
      <c r="C293" s="7"/>
      <c r="H293" s="13" t="str">
        <f>_xlfn.IFNA(TEXT(VLOOKUP(B293,Lookup!A290:B442,2,FALSE)*$E$1/440,"#.0#"),"")</f>
        <v/>
      </c>
      <c r="I293" s="14" t="str">
        <f t="shared" si="4"/>
        <v/>
      </c>
    </row>
    <row r="294" spans="1:9" x14ac:dyDescent="0.25">
      <c r="A294" s="12">
        <f>CEILING(SUM($C$5:$C294)/($A$3/$B$3),1)</f>
        <v>8</v>
      </c>
      <c r="B294" s="6"/>
      <c r="C294" s="7"/>
      <c r="H294" s="13" t="str">
        <f>_xlfn.IFNA(TEXT(VLOOKUP(B294,Lookup!A291:B443,2,FALSE)*$E$1/440,"#.0#"),"")</f>
        <v/>
      </c>
      <c r="I294" s="14" t="str">
        <f t="shared" si="4"/>
        <v/>
      </c>
    </row>
    <row r="295" spans="1:9" x14ac:dyDescent="0.25">
      <c r="A295" s="12">
        <f>CEILING(SUM($C$5:$C295)/($A$3/$B$3),1)</f>
        <v>8</v>
      </c>
      <c r="B295" s="6"/>
      <c r="C295" s="7"/>
      <c r="H295" s="13" t="str">
        <f>_xlfn.IFNA(TEXT(VLOOKUP(B295,Lookup!A292:B444,2,FALSE)*$E$1/440,"#.0#"),"")</f>
        <v/>
      </c>
      <c r="I295" s="14" t="str">
        <f t="shared" si="4"/>
        <v/>
      </c>
    </row>
    <row r="296" spans="1:9" x14ac:dyDescent="0.25">
      <c r="A296" s="12">
        <f>CEILING(SUM($C$5:$C296)/($A$3/$B$3),1)</f>
        <v>8</v>
      </c>
      <c r="B296" s="6"/>
      <c r="C296" s="7"/>
      <c r="H296" s="13" t="str">
        <f>_xlfn.IFNA(TEXT(VLOOKUP(B296,Lookup!A293:B445,2,FALSE)*$E$1/440,"#.0#"),"")</f>
        <v/>
      </c>
      <c r="I296" s="14" t="str">
        <f t="shared" si="4"/>
        <v/>
      </c>
    </row>
    <row r="297" spans="1:9" x14ac:dyDescent="0.25">
      <c r="A297" s="12">
        <f>CEILING(SUM($C$5:$C297)/($A$3/$B$3),1)</f>
        <v>8</v>
      </c>
      <c r="B297" s="6"/>
      <c r="C297" s="7"/>
      <c r="H297" s="13" t="str">
        <f>_xlfn.IFNA(TEXT(VLOOKUP(B297,Lookup!A294:B446,2,FALSE)*$E$1/440,"#.0#"),"")</f>
        <v/>
      </c>
      <c r="I297" s="14" t="str">
        <f t="shared" si="4"/>
        <v/>
      </c>
    </row>
    <row r="298" spans="1:9" x14ac:dyDescent="0.25">
      <c r="A298" s="12">
        <f>CEILING(SUM($C$5:$C298)/($A$3/$B$3),1)</f>
        <v>8</v>
      </c>
      <c r="B298" s="6"/>
      <c r="C298" s="7"/>
      <c r="H298" s="13" t="str">
        <f>_xlfn.IFNA(TEXT(VLOOKUP(B298,Lookup!A295:B447,2,FALSE)*$E$1/440,"#.0#"),"")</f>
        <v/>
      </c>
      <c r="I298" s="14" t="str">
        <f t="shared" si="4"/>
        <v/>
      </c>
    </row>
    <row r="299" spans="1:9" x14ac:dyDescent="0.25">
      <c r="A299" s="12">
        <f>CEILING(SUM($C$5:$C299)/($A$3/$B$3),1)</f>
        <v>8</v>
      </c>
      <c r="B299" s="6"/>
      <c r="C299" s="7"/>
      <c r="H299" s="13" t="str">
        <f>_xlfn.IFNA(TEXT(VLOOKUP(B299,Lookup!A296:B448,2,FALSE)*$E$1/440,"#.0#"),"")</f>
        <v/>
      </c>
      <c r="I299" s="14" t="str">
        <f t="shared" si="4"/>
        <v/>
      </c>
    </row>
    <row r="300" spans="1:9" x14ac:dyDescent="0.25">
      <c r="A300" s="12">
        <f>CEILING(SUM($C$5:$C300)/($A$3/$B$3),1)</f>
        <v>8</v>
      </c>
      <c r="B300" s="6"/>
      <c r="C300" s="7"/>
      <c r="H300" s="13" t="str">
        <f>_xlfn.IFNA(TEXT(VLOOKUP(B300,Lookup!A297:B449,2,FALSE)*$E$1/440,"#.0#"),"")</f>
        <v/>
      </c>
      <c r="I300" s="14" t="str">
        <f t="shared" si="4"/>
        <v/>
      </c>
    </row>
    <row r="301" spans="1:9" x14ac:dyDescent="0.25">
      <c r="A301" s="12">
        <f>CEILING(SUM($C$5:$C301)/($A$3/$B$3),1)</f>
        <v>8</v>
      </c>
      <c r="B301" s="6"/>
      <c r="C301" s="7"/>
      <c r="H301" s="13" t="str">
        <f>_xlfn.IFNA(TEXT(VLOOKUP(B301,Lookup!A298:B450,2,FALSE)*$E$1/440,"#.0#"),"")</f>
        <v/>
      </c>
      <c r="I301" s="14" t="str">
        <f t="shared" si="4"/>
        <v/>
      </c>
    </row>
    <row r="302" spans="1:9" x14ac:dyDescent="0.25">
      <c r="A302" s="12">
        <f>CEILING(SUM($C$5:$C302)/($A$3/$B$3),1)</f>
        <v>8</v>
      </c>
      <c r="B302" s="6"/>
      <c r="C302" s="7"/>
      <c r="H302" s="13" t="str">
        <f>_xlfn.IFNA(TEXT(VLOOKUP(B302,Lookup!A299:B451,2,FALSE)*$E$1/440,"#.0#"),"")</f>
        <v/>
      </c>
      <c r="I302" s="14" t="str">
        <f t="shared" si="4"/>
        <v/>
      </c>
    </row>
    <row r="303" spans="1:9" x14ac:dyDescent="0.25">
      <c r="A303" s="12">
        <f>CEILING(SUM($C$5:$C303)/($A$3/$B$3),1)</f>
        <v>8</v>
      </c>
      <c r="B303" s="6"/>
      <c r="C303" s="7"/>
      <c r="H303" s="13" t="str">
        <f>_xlfn.IFNA(TEXT(VLOOKUP(B303,Lookup!A300:B452,2,FALSE)*$E$1/440,"#.0#"),"")</f>
        <v/>
      </c>
      <c r="I303" s="14" t="str">
        <f t="shared" si="4"/>
        <v/>
      </c>
    </row>
    <row r="304" spans="1:9" x14ac:dyDescent="0.25">
      <c r="A304" s="12">
        <f>CEILING(SUM($C$5:$C304)/($A$3/$B$3),1)</f>
        <v>8</v>
      </c>
      <c r="B304" s="6"/>
      <c r="C304" s="7"/>
      <c r="H304" s="13" t="str">
        <f>_xlfn.IFNA(TEXT(VLOOKUP(B304,Lookup!A301:B453,2,FALSE)*$E$1/440,"#.0#"),"")</f>
        <v/>
      </c>
      <c r="I304" s="14" t="str">
        <f t="shared" si="4"/>
        <v/>
      </c>
    </row>
    <row r="305" spans="1:9" x14ac:dyDescent="0.25">
      <c r="A305" s="12">
        <f>CEILING(SUM($C$5:$C305)/($A$3/$B$3),1)</f>
        <v>8</v>
      </c>
      <c r="B305" s="6"/>
      <c r="C305" s="7"/>
      <c r="H305" s="13" t="str">
        <f>_xlfn.IFNA(TEXT(VLOOKUP(B305,Lookup!A302:B454,2,FALSE)*$E$1/440,"#.0#"),"")</f>
        <v/>
      </c>
      <c r="I305" s="14" t="str">
        <f t="shared" si="4"/>
        <v/>
      </c>
    </row>
    <row r="306" spans="1:9" x14ac:dyDescent="0.25">
      <c r="A306" s="12">
        <f>CEILING(SUM($C$5:$C306)/($A$3/$B$3),1)</f>
        <v>8</v>
      </c>
      <c r="B306" s="6"/>
      <c r="C306" s="7"/>
      <c r="H306" s="13" t="str">
        <f>_xlfn.IFNA(TEXT(VLOOKUP(B306,Lookup!A303:B455,2,FALSE)*$E$1/440,"#.0#"),"")</f>
        <v/>
      </c>
      <c r="I306" s="14" t="str">
        <f t="shared" si="4"/>
        <v/>
      </c>
    </row>
    <row r="307" spans="1:9" x14ac:dyDescent="0.25">
      <c r="A307" s="12">
        <f>CEILING(SUM($C$5:$C307)/($A$3/$B$3),1)</f>
        <v>8</v>
      </c>
      <c r="B307" s="6"/>
      <c r="C307" s="7"/>
      <c r="H307" s="13" t="str">
        <f>_xlfn.IFNA(TEXT(VLOOKUP(B307,Lookup!A304:B456,2,FALSE)*$E$1/440,"#.0#"),"")</f>
        <v/>
      </c>
      <c r="I307" s="14" t="str">
        <f t="shared" si="4"/>
        <v/>
      </c>
    </row>
    <row r="308" spans="1:9" x14ac:dyDescent="0.25">
      <c r="A308" s="12">
        <f>CEILING(SUM($C$5:$C308)/($A$3/$B$3),1)</f>
        <v>8</v>
      </c>
      <c r="B308" s="6"/>
      <c r="C308" s="7"/>
      <c r="H308" s="13" t="str">
        <f>_xlfn.IFNA(TEXT(VLOOKUP(B308,Lookup!A305:B457,2,FALSE)*$E$1/440,"#.0#"),"")</f>
        <v/>
      </c>
      <c r="I308" s="14" t="str">
        <f t="shared" si="4"/>
        <v/>
      </c>
    </row>
    <row r="309" spans="1:9" x14ac:dyDescent="0.25">
      <c r="A309" s="12">
        <f>CEILING(SUM($C$5:$C309)/($A$3/$B$3),1)</f>
        <v>8</v>
      </c>
      <c r="B309" s="6"/>
      <c r="C309" s="7"/>
      <c r="H309" s="13" t="str">
        <f>_xlfn.IFNA(TEXT(VLOOKUP(B309,Lookup!A306:B458,2,FALSE)*$E$1/440,"#.0#"),"")</f>
        <v/>
      </c>
      <c r="I309" s="14" t="str">
        <f t="shared" si="4"/>
        <v/>
      </c>
    </row>
    <row r="310" spans="1:9" x14ac:dyDescent="0.25">
      <c r="A310" s="12">
        <f>CEILING(SUM($C$5:$C310)/($A$3/$B$3),1)</f>
        <v>8</v>
      </c>
      <c r="B310" s="6"/>
      <c r="C310" s="7"/>
      <c r="H310" s="13" t="str">
        <f>_xlfn.IFNA(TEXT(VLOOKUP(B310,Lookup!A307:B459,2,FALSE)*$E$1/440,"#.0#"),"")</f>
        <v/>
      </c>
      <c r="I310" s="14" t="str">
        <f t="shared" si="4"/>
        <v/>
      </c>
    </row>
    <row r="311" spans="1:9" x14ac:dyDescent="0.25">
      <c r="A311" s="12">
        <f>CEILING(SUM($C$5:$C311)/($A$3/$B$3),1)</f>
        <v>8</v>
      </c>
      <c r="B311" s="6"/>
      <c r="C311" s="7"/>
      <c r="H311" s="13" t="str">
        <f>_xlfn.IFNA(TEXT(VLOOKUP(B311,Lookup!A308:B460,2,FALSE)*$E$1/440,"#.0#"),"")</f>
        <v/>
      </c>
      <c r="I311" s="14" t="str">
        <f t="shared" si="4"/>
        <v/>
      </c>
    </row>
    <row r="312" spans="1:9" x14ac:dyDescent="0.25">
      <c r="A312" s="12">
        <f>CEILING(SUM($C$5:$C312)/($A$3/$B$3),1)</f>
        <v>8</v>
      </c>
      <c r="B312" s="6"/>
      <c r="C312" s="7"/>
      <c r="H312" s="13" t="str">
        <f>_xlfn.IFNA(TEXT(VLOOKUP(B312,Lookup!A309:B461,2,FALSE)*$E$1/440,"#.0#"),"")</f>
        <v/>
      </c>
      <c r="I312" s="14" t="str">
        <f t="shared" si="4"/>
        <v/>
      </c>
    </row>
    <row r="313" spans="1:9" x14ac:dyDescent="0.25">
      <c r="A313" s="12">
        <f>CEILING(SUM($C$5:$C313)/($A$3/$B$3),1)</f>
        <v>8</v>
      </c>
      <c r="B313" s="6"/>
      <c r="C313" s="7"/>
      <c r="H313" s="13" t="str">
        <f>_xlfn.IFNA(TEXT(VLOOKUP(B313,Lookup!A310:B462,2,FALSE)*$E$1/440,"#.0#"),"")</f>
        <v/>
      </c>
      <c r="I313" s="14" t="str">
        <f t="shared" si="4"/>
        <v/>
      </c>
    </row>
    <row r="314" spans="1:9" x14ac:dyDescent="0.25">
      <c r="A314" s="12">
        <f>CEILING(SUM($C$5:$C314)/($A$3/$B$3),1)</f>
        <v>8</v>
      </c>
      <c r="B314" s="6"/>
      <c r="C314" s="7"/>
      <c r="H314" s="13" t="str">
        <f>_xlfn.IFNA(TEXT(VLOOKUP(B314,Lookup!A311:B463,2,FALSE)*$E$1/440,"#.0#"),"")</f>
        <v/>
      </c>
      <c r="I314" s="14" t="str">
        <f t="shared" si="4"/>
        <v/>
      </c>
    </row>
    <row r="315" spans="1:9" x14ac:dyDescent="0.25">
      <c r="A315" s="12">
        <f>CEILING(SUM($C$5:$C315)/($A$3/$B$3),1)</f>
        <v>8</v>
      </c>
      <c r="B315" s="6"/>
      <c r="C315" s="7"/>
      <c r="H315" s="13" t="str">
        <f>_xlfn.IFNA(TEXT(VLOOKUP(B315,Lookup!A312:B464,2,FALSE)*$E$1/440,"#.0#"),"")</f>
        <v/>
      </c>
      <c r="I315" s="14" t="str">
        <f t="shared" si="4"/>
        <v/>
      </c>
    </row>
    <row r="316" spans="1:9" x14ac:dyDescent="0.25">
      <c r="A316" s="12">
        <f>CEILING(SUM($C$5:$C316)/($A$3/$B$3),1)</f>
        <v>8</v>
      </c>
      <c r="B316" s="6"/>
      <c r="C316" s="7"/>
      <c r="H316" s="13" t="str">
        <f>_xlfn.IFNA(TEXT(VLOOKUP(B316,Lookup!A313:B465,2,FALSE)*$E$1/440,"#.0#"),"")</f>
        <v/>
      </c>
      <c r="I316" s="14" t="str">
        <f t="shared" si="4"/>
        <v/>
      </c>
    </row>
    <row r="317" spans="1:9" x14ac:dyDescent="0.25">
      <c r="A317" s="12">
        <f>CEILING(SUM($C$5:$C317)/($A$3/$B$3),1)</f>
        <v>8</v>
      </c>
      <c r="B317" s="6"/>
      <c r="C317" s="7"/>
      <c r="H317" s="13" t="str">
        <f>_xlfn.IFNA(TEXT(VLOOKUP(B317,Lookup!A314:B466,2,FALSE)*$E$1/440,"#.0#"),"")</f>
        <v/>
      </c>
      <c r="I317" s="14" t="str">
        <f t="shared" si="4"/>
        <v/>
      </c>
    </row>
    <row r="318" spans="1:9" x14ac:dyDescent="0.25">
      <c r="A318" s="12">
        <f>CEILING(SUM($C$5:$C318)/($A$3/$B$3),1)</f>
        <v>8</v>
      </c>
      <c r="B318" s="6"/>
      <c r="C318" s="7"/>
      <c r="H318" s="13" t="str">
        <f>_xlfn.IFNA(TEXT(VLOOKUP(B318,Lookup!A315:B467,2,FALSE)*$E$1/440,"#.0#"),"")</f>
        <v/>
      </c>
      <c r="I318" s="14" t="str">
        <f t="shared" si="4"/>
        <v/>
      </c>
    </row>
    <row r="319" spans="1:9" x14ac:dyDescent="0.25">
      <c r="A319" s="12">
        <f>CEILING(SUM($C$5:$C319)/($A$3/$B$3),1)</f>
        <v>8</v>
      </c>
      <c r="B319" s="6"/>
      <c r="C319" s="7"/>
      <c r="H319" s="13" t="str">
        <f>_xlfn.IFNA(TEXT(VLOOKUP(B319,Lookup!A316:B468,2,FALSE)*$E$1/440,"#.0#"),"")</f>
        <v/>
      </c>
      <c r="I319" s="14" t="str">
        <f t="shared" si="4"/>
        <v/>
      </c>
    </row>
    <row r="320" spans="1:9" x14ac:dyDescent="0.25">
      <c r="A320" s="12">
        <f>CEILING(SUM($C$5:$C320)/($A$3/$B$3),1)</f>
        <v>8</v>
      </c>
      <c r="B320" s="6"/>
      <c r="C320" s="7"/>
      <c r="H320" s="13" t="str">
        <f>_xlfn.IFNA(TEXT(VLOOKUP(B320,Lookup!A317:B469,2,FALSE)*$E$1/440,"#.0#"),"")</f>
        <v/>
      </c>
      <c r="I320" s="14" t="str">
        <f t="shared" si="4"/>
        <v/>
      </c>
    </row>
    <row r="321" spans="1:9" x14ac:dyDescent="0.25">
      <c r="A321" s="12">
        <f>CEILING(SUM($C$5:$C321)/($A$3/$B$3),1)</f>
        <v>8</v>
      </c>
      <c r="B321" s="6"/>
      <c r="C321" s="7"/>
      <c r="H321" s="13" t="str">
        <f>_xlfn.IFNA(TEXT(VLOOKUP(B321,Lookup!A318:B470,2,FALSE)*$E$1/440,"#.0#"),"")</f>
        <v/>
      </c>
      <c r="I321" s="14" t="str">
        <f t="shared" si="4"/>
        <v/>
      </c>
    </row>
    <row r="322" spans="1:9" x14ac:dyDescent="0.25">
      <c r="A322" s="12">
        <f>CEILING(SUM($C$5:$C322)/($A$3/$B$3),1)</f>
        <v>8</v>
      </c>
      <c r="B322" s="6"/>
      <c r="C322" s="7"/>
      <c r="H322" s="13" t="str">
        <f>_xlfn.IFNA(TEXT(VLOOKUP(B322,Lookup!A319:B471,2,FALSE)*$E$1/440,"#.0#"),"")</f>
        <v/>
      </c>
      <c r="I322" s="14" t="str">
        <f t="shared" si="4"/>
        <v/>
      </c>
    </row>
    <row r="323" spans="1:9" x14ac:dyDescent="0.25">
      <c r="A323" s="12">
        <f>CEILING(SUM($C$5:$C323)/($A$3/$B$3),1)</f>
        <v>8</v>
      </c>
      <c r="B323" s="6"/>
      <c r="C323" s="7"/>
      <c r="H323" s="13" t="str">
        <f>_xlfn.IFNA(TEXT(VLOOKUP(B323,Lookup!A320:B472,2,FALSE)*$E$1/440,"#.0#"),"")</f>
        <v/>
      </c>
      <c r="I323" s="14" t="str">
        <f t="shared" si="4"/>
        <v/>
      </c>
    </row>
    <row r="324" spans="1:9" x14ac:dyDescent="0.25">
      <c r="A324" s="12">
        <f>CEILING(SUM($C$5:$C324)/($A$3/$B$3),1)</f>
        <v>8</v>
      </c>
      <c r="B324" s="6"/>
      <c r="C324" s="7"/>
      <c r="H324" s="13" t="str">
        <f>_xlfn.IFNA(TEXT(VLOOKUP(B324,Lookup!A321:B473,2,FALSE)*$E$1/440,"#.0#"),"")</f>
        <v/>
      </c>
      <c r="I324" s="14" t="str">
        <f t="shared" si="4"/>
        <v/>
      </c>
    </row>
    <row r="325" spans="1:9" x14ac:dyDescent="0.25">
      <c r="A325" s="12">
        <f>CEILING(SUM($C$5:$C325)/($A$3/$B$3),1)</f>
        <v>8</v>
      </c>
      <c r="B325" s="6"/>
      <c r="C325" s="7"/>
      <c r="H325" s="13" t="str">
        <f>_xlfn.IFNA(TEXT(VLOOKUP(B325,Lookup!A322:B474,2,FALSE)*$E$1/440,"#.0#"),"")</f>
        <v/>
      </c>
      <c r="I325" s="14" t="str">
        <f t="shared" si="4"/>
        <v/>
      </c>
    </row>
    <row r="326" spans="1:9" x14ac:dyDescent="0.25">
      <c r="A326" s="12">
        <f>CEILING(SUM($C$5:$C326)/($A$3/$B$3),1)</f>
        <v>8</v>
      </c>
      <c r="B326" s="6"/>
      <c r="C326" s="7"/>
      <c r="H326" s="13" t="str">
        <f>_xlfn.IFNA(TEXT(VLOOKUP(B326,Lookup!A323:B475,2,FALSE)*$E$1/440,"#.0#"),"")</f>
        <v/>
      </c>
      <c r="I326" s="14" t="str">
        <f t="shared" ref="I326:I389" si="5">IF(C326&gt;0,TEXT((60000*$C326*$B$3)/($H$1),"#"),"")</f>
        <v/>
      </c>
    </row>
    <row r="327" spans="1:9" x14ac:dyDescent="0.25">
      <c r="A327" s="12">
        <f>CEILING(SUM($C$5:$C327)/($A$3/$B$3),1)</f>
        <v>8</v>
      </c>
      <c r="B327" s="6"/>
      <c r="C327" s="7"/>
      <c r="H327" s="13" t="str">
        <f>_xlfn.IFNA(TEXT(VLOOKUP(B327,Lookup!A324:B476,2,FALSE)*$E$1/440,"#.0#"),"")</f>
        <v/>
      </c>
      <c r="I327" s="14" t="str">
        <f t="shared" si="5"/>
        <v/>
      </c>
    </row>
    <row r="328" spans="1:9" x14ac:dyDescent="0.25">
      <c r="A328" s="12">
        <f>CEILING(SUM($C$5:$C328)/($A$3/$B$3),1)</f>
        <v>8</v>
      </c>
      <c r="B328" s="6"/>
      <c r="C328" s="7"/>
      <c r="H328" s="13" t="str">
        <f>_xlfn.IFNA(TEXT(VLOOKUP(B328,Lookup!A325:B477,2,FALSE)*$E$1/440,"#.0#"),"")</f>
        <v/>
      </c>
      <c r="I328" s="14" t="str">
        <f t="shared" si="5"/>
        <v/>
      </c>
    </row>
    <row r="329" spans="1:9" x14ac:dyDescent="0.25">
      <c r="A329" s="12">
        <f>CEILING(SUM($C$5:$C329)/($A$3/$B$3),1)</f>
        <v>8</v>
      </c>
      <c r="B329" s="6"/>
      <c r="C329" s="7"/>
      <c r="H329" s="13" t="str">
        <f>_xlfn.IFNA(TEXT(VLOOKUP(B329,Lookup!A326:B478,2,FALSE)*$E$1/440,"#.0#"),"")</f>
        <v/>
      </c>
      <c r="I329" s="14" t="str">
        <f t="shared" si="5"/>
        <v/>
      </c>
    </row>
    <row r="330" spans="1:9" x14ac:dyDescent="0.25">
      <c r="A330" s="12">
        <f>CEILING(SUM($C$5:$C330)/($A$3/$B$3),1)</f>
        <v>8</v>
      </c>
      <c r="B330" s="6"/>
      <c r="C330" s="7"/>
      <c r="H330" s="13" t="str">
        <f>_xlfn.IFNA(TEXT(VLOOKUP(B330,Lookup!A327:B479,2,FALSE)*$E$1/440,"#.0#"),"")</f>
        <v/>
      </c>
      <c r="I330" s="14" t="str">
        <f t="shared" si="5"/>
        <v/>
      </c>
    </row>
    <row r="331" spans="1:9" x14ac:dyDescent="0.25">
      <c r="A331" s="12">
        <f>CEILING(SUM($C$5:$C331)/($A$3/$B$3),1)</f>
        <v>8</v>
      </c>
      <c r="B331" s="6"/>
      <c r="C331" s="7"/>
      <c r="H331" s="13" t="str">
        <f>_xlfn.IFNA(TEXT(VLOOKUP(B331,Lookup!A328:B480,2,FALSE)*$E$1/440,"#.0#"),"")</f>
        <v/>
      </c>
      <c r="I331" s="14" t="str">
        <f t="shared" si="5"/>
        <v/>
      </c>
    </row>
    <row r="332" spans="1:9" x14ac:dyDescent="0.25">
      <c r="A332" s="12">
        <f>CEILING(SUM($C$5:$C332)/($A$3/$B$3),1)</f>
        <v>8</v>
      </c>
      <c r="B332" s="6"/>
      <c r="C332" s="7"/>
      <c r="H332" s="13" t="str">
        <f>_xlfn.IFNA(TEXT(VLOOKUP(B332,Lookup!A329:B481,2,FALSE)*$E$1/440,"#.0#"),"")</f>
        <v/>
      </c>
      <c r="I332" s="14" t="str">
        <f t="shared" si="5"/>
        <v/>
      </c>
    </row>
    <row r="333" spans="1:9" x14ac:dyDescent="0.25">
      <c r="A333" s="12">
        <f>CEILING(SUM($C$5:$C333)/($A$3/$B$3),1)</f>
        <v>8</v>
      </c>
      <c r="B333" s="6"/>
      <c r="C333" s="7"/>
      <c r="H333" s="13" t="str">
        <f>_xlfn.IFNA(TEXT(VLOOKUP(B333,Lookup!A330:B482,2,FALSE)*$E$1/440,"#.0#"),"")</f>
        <v/>
      </c>
      <c r="I333" s="14" t="str">
        <f t="shared" si="5"/>
        <v/>
      </c>
    </row>
    <row r="334" spans="1:9" x14ac:dyDescent="0.25">
      <c r="A334" s="12">
        <f>CEILING(SUM($C$5:$C334)/($A$3/$B$3),1)</f>
        <v>8</v>
      </c>
      <c r="B334" s="6"/>
      <c r="C334" s="7"/>
      <c r="H334" s="13" t="str">
        <f>_xlfn.IFNA(TEXT(VLOOKUP(B334,Lookup!A331:B483,2,FALSE)*$E$1/440,"#.0#"),"")</f>
        <v/>
      </c>
      <c r="I334" s="14" t="str">
        <f t="shared" si="5"/>
        <v/>
      </c>
    </row>
    <row r="335" spans="1:9" x14ac:dyDescent="0.25">
      <c r="A335" s="12">
        <f>CEILING(SUM($C$5:$C335)/($A$3/$B$3),1)</f>
        <v>8</v>
      </c>
      <c r="B335" s="6"/>
      <c r="C335" s="7"/>
      <c r="H335" s="13" t="str">
        <f>_xlfn.IFNA(TEXT(VLOOKUP(B335,Lookup!A332:B484,2,FALSE)*$E$1/440,"#.0#"),"")</f>
        <v/>
      </c>
      <c r="I335" s="14" t="str">
        <f t="shared" si="5"/>
        <v/>
      </c>
    </row>
    <row r="336" spans="1:9" x14ac:dyDescent="0.25">
      <c r="A336" s="12">
        <f>CEILING(SUM($C$5:$C336)/($A$3/$B$3),1)</f>
        <v>8</v>
      </c>
      <c r="B336" s="6"/>
      <c r="C336" s="7"/>
      <c r="H336" s="13" t="str">
        <f>_xlfn.IFNA(TEXT(VLOOKUP(B336,Lookup!A333:B485,2,FALSE)*$E$1/440,"#.0#"),"")</f>
        <v/>
      </c>
      <c r="I336" s="14" t="str">
        <f t="shared" si="5"/>
        <v/>
      </c>
    </row>
    <row r="337" spans="1:9" x14ac:dyDescent="0.25">
      <c r="A337" s="12">
        <f>CEILING(SUM($C$5:$C337)/($A$3/$B$3),1)</f>
        <v>8</v>
      </c>
      <c r="B337" s="6"/>
      <c r="C337" s="7"/>
      <c r="H337" s="13" t="str">
        <f>_xlfn.IFNA(TEXT(VLOOKUP(B337,Lookup!A334:B486,2,FALSE)*$E$1/440,"#.0#"),"")</f>
        <v/>
      </c>
      <c r="I337" s="14" t="str">
        <f t="shared" si="5"/>
        <v/>
      </c>
    </row>
    <row r="338" spans="1:9" x14ac:dyDescent="0.25">
      <c r="A338" s="12">
        <f>CEILING(SUM($C$5:$C338)/($A$3/$B$3),1)</f>
        <v>8</v>
      </c>
      <c r="B338" s="6"/>
      <c r="C338" s="7"/>
      <c r="H338" s="13" t="str">
        <f>_xlfn.IFNA(TEXT(VLOOKUP(B338,Lookup!A335:B487,2,FALSE)*$E$1/440,"#.0#"),"")</f>
        <v/>
      </c>
      <c r="I338" s="14" t="str">
        <f t="shared" si="5"/>
        <v/>
      </c>
    </row>
    <row r="339" spans="1:9" x14ac:dyDescent="0.25">
      <c r="A339" s="12">
        <f>CEILING(SUM($C$5:$C339)/($A$3/$B$3),1)</f>
        <v>8</v>
      </c>
      <c r="B339" s="6"/>
      <c r="C339" s="7"/>
      <c r="H339" s="13" t="str">
        <f>_xlfn.IFNA(TEXT(VLOOKUP(B339,Lookup!A336:B488,2,FALSE)*$E$1/440,"#.0#"),"")</f>
        <v/>
      </c>
      <c r="I339" s="14" t="str">
        <f t="shared" si="5"/>
        <v/>
      </c>
    </row>
    <row r="340" spans="1:9" x14ac:dyDescent="0.25">
      <c r="A340" s="12">
        <f>CEILING(SUM($C$5:$C340)/($A$3/$B$3),1)</f>
        <v>8</v>
      </c>
      <c r="B340" s="6"/>
      <c r="C340" s="7"/>
      <c r="H340" s="13" t="str">
        <f>_xlfn.IFNA(TEXT(VLOOKUP(B340,Lookup!A337:B489,2,FALSE)*$E$1/440,"#.0#"),"")</f>
        <v/>
      </c>
      <c r="I340" s="14" t="str">
        <f t="shared" si="5"/>
        <v/>
      </c>
    </row>
    <row r="341" spans="1:9" x14ac:dyDescent="0.25">
      <c r="A341" s="12">
        <f>CEILING(SUM($C$5:$C341)/($A$3/$B$3),1)</f>
        <v>8</v>
      </c>
      <c r="B341" s="6"/>
      <c r="C341" s="7"/>
      <c r="H341" s="13" t="str">
        <f>_xlfn.IFNA(TEXT(VLOOKUP(B341,Lookup!A338:B490,2,FALSE)*$E$1/440,"#.0#"),"")</f>
        <v/>
      </c>
      <c r="I341" s="14" t="str">
        <f t="shared" si="5"/>
        <v/>
      </c>
    </row>
    <row r="342" spans="1:9" x14ac:dyDescent="0.25">
      <c r="A342" s="12">
        <f>CEILING(SUM($C$5:$C342)/($A$3/$B$3),1)</f>
        <v>8</v>
      </c>
      <c r="B342" s="6"/>
      <c r="C342" s="7"/>
      <c r="H342" s="13" t="str">
        <f>_xlfn.IFNA(TEXT(VLOOKUP(B342,Lookup!A339:B491,2,FALSE)*$E$1/440,"#.0#"),"")</f>
        <v/>
      </c>
      <c r="I342" s="14" t="str">
        <f t="shared" si="5"/>
        <v/>
      </c>
    </row>
    <row r="343" spans="1:9" x14ac:dyDescent="0.25">
      <c r="A343" s="12">
        <f>CEILING(SUM($C$5:$C343)/($A$3/$B$3),1)</f>
        <v>8</v>
      </c>
      <c r="B343" s="6"/>
      <c r="C343" s="7"/>
      <c r="H343" s="13" t="str">
        <f>_xlfn.IFNA(TEXT(VLOOKUP(B343,Lookup!A340:B492,2,FALSE)*$E$1/440,"#.0#"),"")</f>
        <v/>
      </c>
      <c r="I343" s="14" t="str">
        <f t="shared" si="5"/>
        <v/>
      </c>
    </row>
    <row r="344" spans="1:9" x14ac:dyDescent="0.25">
      <c r="A344" s="12">
        <f>CEILING(SUM($C$5:$C344)/($A$3/$B$3),1)</f>
        <v>8</v>
      </c>
      <c r="B344" s="6"/>
      <c r="C344" s="7"/>
      <c r="H344" s="13" t="str">
        <f>_xlfn.IFNA(TEXT(VLOOKUP(B344,Lookup!A341:B493,2,FALSE)*$E$1/440,"#.0#"),"")</f>
        <v/>
      </c>
      <c r="I344" s="14" t="str">
        <f t="shared" si="5"/>
        <v/>
      </c>
    </row>
    <row r="345" spans="1:9" x14ac:dyDescent="0.25">
      <c r="A345" s="12">
        <f>CEILING(SUM($C$5:$C345)/($A$3/$B$3),1)</f>
        <v>8</v>
      </c>
      <c r="B345" s="6"/>
      <c r="C345" s="7"/>
      <c r="H345" s="13" t="str">
        <f>_xlfn.IFNA(TEXT(VLOOKUP(B345,Lookup!A342:B494,2,FALSE)*$E$1/440,"#.0#"),"")</f>
        <v/>
      </c>
      <c r="I345" s="14" t="str">
        <f t="shared" si="5"/>
        <v/>
      </c>
    </row>
    <row r="346" spans="1:9" x14ac:dyDescent="0.25">
      <c r="A346" s="12">
        <f>CEILING(SUM($C$5:$C346)/($A$3/$B$3),1)</f>
        <v>8</v>
      </c>
      <c r="B346" s="6"/>
      <c r="C346" s="7"/>
      <c r="H346" s="13" t="str">
        <f>_xlfn.IFNA(TEXT(VLOOKUP(B346,Lookup!A343:B495,2,FALSE)*$E$1/440,"#.0#"),"")</f>
        <v/>
      </c>
      <c r="I346" s="14" t="str">
        <f t="shared" si="5"/>
        <v/>
      </c>
    </row>
    <row r="347" spans="1:9" x14ac:dyDescent="0.25">
      <c r="A347" s="12">
        <f>CEILING(SUM($C$5:$C347)/($A$3/$B$3),1)</f>
        <v>8</v>
      </c>
      <c r="B347" s="6"/>
      <c r="C347" s="7"/>
      <c r="H347" s="13" t="str">
        <f>_xlfn.IFNA(TEXT(VLOOKUP(B347,Lookup!A344:B496,2,FALSE)*$E$1/440,"#.0#"),"")</f>
        <v/>
      </c>
      <c r="I347" s="14" t="str">
        <f t="shared" si="5"/>
        <v/>
      </c>
    </row>
    <row r="348" spans="1:9" x14ac:dyDescent="0.25">
      <c r="A348" s="12">
        <f>CEILING(SUM($C$5:$C348)/($A$3/$B$3),1)</f>
        <v>8</v>
      </c>
      <c r="B348" s="6"/>
      <c r="C348" s="7"/>
      <c r="H348" s="13" t="str">
        <f>_xlfn.IFNA(TEXT(VLOOKUP(B348,Lookup!A345:B497,2,FALSE)*$E$1/440,"#.0#"),"")</f>
        <v/>
      </c>
      <c r="I348" s="14" t="str">
        <f t="shared" si="5"/>
        <v/>
      </c>
    </row>
    <row r="349" spans="1:9" x14ac:dyDescent="0.25">
      <c r="A349" s="12">
        <f>CEILING(SUM($C$5:$C349)/($A$3/$B$3),1)</f>
        <v>8</v>
      </c>
      <c r="B349" s="6"/>
      <c r="C349" s="7"/>
      <c r="H349" s="13" t="str">
        <f>_xlfn.IFNA(TEXT(VLOOKUP(B349,Lookup!A346:B498,2,FALSE)*$E$1/440,"#.0#"),"")</f>
        <v/>
      </c>
      <c r="I349" s="14" t="str">
        <f t="shared" si="5"/>
        <v/>
      </c>
    </row>
    <row r="350" spans="1:9" x14ac:dyDescent="0.25">
      <c r="A350" s="12">
        <f>CEILING(SUM($C$5:$C350)/($A$3/$B$3),1)</f>
        <v>8</v>
      </c>
      <c r="B350" s="6"/>
      <c r="C350" s="7"/>
      <c r="H350" s="13" t="str">
        <f>_xlfn.IFNA(TEXT(VLOOKUP(B350,Lookup!A347:B499,2,FALSE)*$E$1/440,"#.0#"),"")</f>
        <v/>
      </c>
      <c r="I350" s="14" t="str">
        <f t="shared" si="5"/>
        <v/>
      </c>
    </row>
    <row r="351" spans="1:9" x14ac:dyDescent="0.25">
      <c r="A351" s="12">
        <f>CEILING(SUM($C$5:$C351)/($A$3/$B$3),1)</f>
        <v>8</v>
      </c>
      <c r="B351" s="6"/>
      <c r="C351" s="7"/>
      <c r="H351" s="13" t="str">
        <f>_xlfn.IFNA(TEXT(VLOOKUP(B351,Lookup!A348:B500,2,FALSE)*$E$1/440,"#.0#"),"")</f>
        <v/>
      </c>
      <c r="I351" s="14" t="str">
        <f t="shared" si="5"/>
        <v/>
      </c>
    </row>
    <row r="352" spans="1:9" x14ac:dyDescent="0.25">
      <c r="A352" s="12">
        <f>CEILING(SUM($C$5:$C352)/($A$3/$B$3),1)</f>
        <v>8</v>
      </c>
      <c r="B352" s="6"/>
      <c r="C352" s="7"/>
      <c r="H352" s="13" t="str">
        <f>_xlfn.IFNA(TEXT(VLOOKUP(B352,Lookup!A349:B501,2,FALSE)*$E$1/440,"#.0#"),"")</f>
        <v/>
      </c>
      <c r="I352" s="14" t="str">
        <f t="shared" si="5"/>
        <v/>
      </c>
    </row>
    <row r="353" spans="1:9" x14ac:dyDescent="0.25">
      <c r="A353" s="12">
        <f>CEILING(SUM($C$5:$C353)/($A$3/$B$3),1)</f>
        <v>8</v>
      </c>
      <c r="B353" s="6"/>
      <c r="C353" s="7"/>
      <c r="H353" s="13" t="str">
        <f>_xlfn.IFNA(TEXT(VLOOKUP(B353,Lookup!A350:B502,2,FALSE)*$E$1/440,"#.0#"),"")</f>
        <v/>
      </c>
      <c r="I353" s="14" t="str">
        <f t="shared" si="5"/>
        <v/>
      </c>
    </row>
    <row r="354" spans="1:9" x14ac:dyDescent="0.25">
      <c r="A354" s="12">
        <f>CEILING(SUM($C$5:$C354)/($A$3/$B$3),1)</f>
        <v>8</v>
      </c>
      <c r="B354" s="6"/>
      <c r="C354" s="7"/>
      <c r="H354" s="13" t="str">
        <f>_xlfn.IFNA(TEXT(VLOOKUP(B354,Lookup!A351:B503,2,FALSE)*$E$1/440,"#.0#"),"")</f>
        <v/>
      </c>
      <c r="I354" s="14" t="str">
        <f t="shared" si="5"/>
        <v/>
      </c>
    </row>
    <row r="355" spans="1:9" x14ac:dyDescent="0.25">
      <c r="A355" s="12">
        <f>CEILING(SUM($C$5:$C355)/($A$3/$B$3),1)</f>
        <v>8</v>
      </c>
      <c r="B355" s="6"/>
      <c r="C355" s="7"/>
      <c r="H355" s="13" t="str">
        <f>_xlfn.IFNA(TEXT(VLOOKUP(B355,Lookup!A352:B504,2,FALSE)*$E$1/440,"#.0#"),"")</f>
        <v/>
      </c>
      <c r="I355" s="14" t="str">
        <f t="shared" si="5"/>
        <v/>
      </c>
    </row>
    <row r="356" spans="1:9" x14ac:dyDescent="0.25">
      <c r="A356" s="12">
        <f>CEILING(SUM($C$5:$C356)/($A$3/$B$3),1)</f>
        <v>8</v>
      </c>
      <c r="B356" s="6"/>
      <c r="C356" s="7"/>
      <c r="H356" s="13" t="str">
        <f>_xlfn.IFNA(TEXT(VLOOKUP(B356,Lookup!A353:B505,2,FALSE)*$E$1/440,"#.0#"),"")</f>
        <v/>
      </c>
      <c r="I356" s="14" t="str">
        <f t="shared" si="5"/>
        <v/>
      </c>
    </row>
    <row r="357" spans="1:9" x14ac:dyDescent="0.25">
      <c r="A357" s="12">
        <f>CEILING(SUM($C$5:$C357)/($A$3/$B$3),1)</f>
        <v>8</v>
      </c>
      <c r="B357" s="6"/>
      <c r="C357" s="7"/>
      <c r="H357" s="13" t="str">
        <f>_xlfn.IFNA(TEXT(VLOOKUP(B357,Lookup!A354:B506,2,FALSE)*$E$1/440,"#.0#"),"")</f>
        <v/>
      </c>
      <c r="I357" s="14" t="str">
        <f t="shared" si="5"/>
        <v/>
      </c>
    </row>
    <row r="358" spans="1:9" x14ac:dyDescent="0.25">
      <c r="A358" s="12">
        <f>CEILING(SUM($C$5:$C358)/($A$3/$B$3),1)</f>
        <v>8</v>
      </c>
      <c r="B358" s="6"/>
      <c r="C358" s="7"/>
      <c r="H358" s="13" t="str">
        <f>_xlfn.IFNA(TEXT(VLOOKUP(B358,Lookup!A355:B507,2,FALSE)*$E$1/440,"#.0#"),"")</f>
        <v/>
      </c>
      <c r="I358" s="14" t="str">
        <f t="shared" si="5"/>
        <v/>
      </c>
    </row>
    <row r="359" spans="1:9" x14ac:dyDescent="0.25">
      <c r="A359" s="12">
        <f>CEILING(SUM($C$5:$C359)/($A$3/$B$3),1)</f>
        <v>8</v>
      </c>
      <c r="B359" s="6"/>
      <c r="C359" s="7"/>
      <c r="H359" s="13" t="str">
        <f>_xlfn.IFNA(TEXT(VLOOKUP(B359,Lookup!A356:B508,2,FALSE)*$E$1/440,"#.0#"),"")</f>
        <v/>
      </c>
      <c r="I359" s="14" t="str">
        <f t="shared" si="5"/>
        <v/>
      </c>
    </row>
    <row r="360" spans="1:9" x14ac:dyDescent="0.25">
      <c r="A360" s="12">
        <f>CEILING(SUM($C$5:$C360)/($A$3/$B$3),1)</f>
        <v>8</v>
      </c>
      <c r="B360" s="6"/>
      <c r="C360" s="7"/>
      <c r="H360" s="13" t="str">
        <f>_xlfn.IFNA(TEXT(VLOOKUP(B360,Lookup!A357:B509,2,FALSE)*$E$1/440,"#.0#"),"")</f>
        <v/>
      </c>
      <c r="I360" s="14" t="str">
        <f t="shared" si="5"/>
        <v/>
      </c>
    </row>
    <row r="361" spans="1:9" x14ac:dyDescent="0.25">
      <c r="A361" s="12">
        <f>CEILING(SUM($C$5:$C361)/($A$3/$B$3),1)</f>
        <v>8</v>
      </c>
      <c r="B361" s="6"/>
      <c r="C361" s="7"/>
      <c r="H361" s="13" t="str">
        <f>_xlfn.IFNA(TEXT(VLOOKUP(B361,Lookup!A358:B510,2,FALSE)*$E$1/440,"#.0#"),"")</f>
        <v/>
      </c>
      <c r="I361" s="14" t="str">
        <f t="shared" si="5"/>
        <v/>
      </c>
    </row>
    <row r="362" spans="1:9" x14ac:dyDescent="0.25">
      <c r="A362" s="12">
        <f>CEILING(SUM($C$5:$C362)/($A$3/$B$3),1)</f>
        <v>8</v>
      </c>
      <c r="B362" s="6"/>
      <c r="C362" s="7"/>
      <c r="H362" s="13" t="str">
        <f>_xlfn.IFNA(TEXT(VLOOKUP(B362,Lookup!A359:B511,2,FALSE)*$E$1/440,"#.0#"),"")</f>
        <v/>
      </c>
      <c r="I362" s="14" t="str">
        <f t="shared" si="5"/>
        <v/>
      </c>
    </row>
    <row r="363" spans="1:9" x14ac:dyDescent="0.25">
      <c r="A363" s="12">
        <f>CEILING(SUM($C$5:$C363)/($A$3/$B$3),1)</f>
        <v>8</v>
      </c>
      <c r="B363" s="6"/>
      <c r="C363" s="7"/>
      <c r="H363" s="13" t="str">
        <f>_xlfn.IFNA(TEXT(VLOOKUP(B363,Lookup!A360:B512,2,FALSE)*$E$1/440,"#.0#"),"")</f>
        <v/>
      </c>
      <c r="I363" s="14" t="str">
        <f t="shared" si="5"/>
        <v/>
      </c>
    </row>
    <row r="364" spans="1:9" x14ac:dyDescent="0.25">
      <c r="A364" s="12">
        <f>CEILING(SUM($C$5:$C364)/($A$3/$B$3),1)</f>
        <v>8</v>
      </c>
      <c r="B364" s="6"/>
      <c r="C364" s="7"/>
      <c r="H364" s="13" t="str">
        <f>_xlfn.IFNA(TEXT(VLOOKUP(B364,Lookup!A361:B513,2,FALSE)*$E$1/440,"#.0#"),"")</f>
        <v/>
      </c>
      <c r="I364" s="14" t="str">
        <f t="shared" si="5"/>
        <v/>
      </c>
    </row>
    <row r="365" spans="1:9" x14ac:dyDescent="0.25">
      <c r="A365" s="12">
        <f>CEILING(SUM($C$5:$C365)/($A$3/$B$3),1)</f>
        <v>8</v>
      </c>
      <c r="B365" s="6"/>
      <c r="C365" s="7"/>
      <c r="H365" s="13" t="str">
        <f>_xlfn.IFNA(TEXT(VLOOKUP(B365,Lookup!A362:B514,2,FALSE)*$E$1/440,"#.0#"),"")</f>
        <v/>
      </c>
      <c r="I365" s="14" t="str">
        <f t="shared" si="5"/>
        <v/>
      </c>
    </row>
    <row r="366" spans="1:9" x14ac:dyDescent="0.25">
      <c r="A366" s="12">
        <f>CEILING(SUM($C$5:$C366)/($A$3/$B$3),1)</f>
        <v>8</v>
      </c>
      <c r="B366" s="6"/>
      <c r="C366" s="7"/>
      <c r="H366" s="13" t="str">
        <f>_xlfn.IFNA(TEXT(VLOOKUP(B366,Lookup!A363:B515,2,FALSE)*$E$1/440,"#.0#"),"")</f>
        <v/>
      </c>
      <c r="I366" s="14" t="str">
        <f t="shared" si="5"/>
        <v/>
      </c>
    </row>
    <row r="367" spans="1:9" x14ac:dyDescent="0.25">
      <c r="A367" s="12">
        <f>CEILING(SUM($C$5:$C367)/($A$3/$B$3),1)</f>
        <v>8</v>
      </c>
      <c r="B367" s="6"/>
      <c r="C367" s="7"/>
      <c r="H367" s="13" t="str">
        <f>_xlfn.IFNA(TEXT(VLOOKUP(B367,Lookup!A364:B516,2,FALSE)*$E$1/440,"#.0#"),"")</f>
        <v/>
      </c>
      <c r="I367" s="14" t="str">
        <f t="shared" si="5"/>
        <v/>
      </c>
    </row>
    <row r="368" spans="1:9" x14ac:dyDescent="0.25">
      <c r="A368" s="12">
        <f>CEILING(SUM($C$5:$C368)/($A$3/$B$3),1)</f>
        <v>8</v>
      </c>
      <c r="B368" s="6"/>
      <c r="C368" s="7"/>
      <c r="H368" s="13" t="str">
        <f>_xlfn.IFNA(TEXT(VLOOKUP(B368,Lookup!A365:B517,2,FALSE)*$E$1/440,"#.0#"),"")</f>
        <v/>
      </c>
      <c r="I368" s="14" t="str">
        <f t="shared" si="5"/>
        <v/>
      </c>
    </row>
    <row r="369" spans="1:9" x14ac:dyDescent="0.25">
      <c r="A369" s="12">
        <f>CEILING(SUM($C$5:$C369)/($A$3/$B$3),1)</f>
        <v>8</v>
      </c>
      <c r="B369" s="6"/>
      <c r="C369" s="7"/>
      <c r="H369" s="13" t="str">
        <f>_xlfn.IFNA(TEXT(VLOOKUP(B369,Lookup!A366:B518,2,FALSE)*$E$1/440,"#.0#"),"")</f>
        <v/>
      </c>
      <c r="I369" s="14" t="str">
        <f t="shared" si="5"/>
        <v/>
      </c>
    </row>
    <row r="370" spans="1:9" x14ac:dyDescent="0.25">
      <c r="A370" s="12">
        <f>CEILING(SUM($C$5:$C370)/($A$3/$B$3),1)</f>
        <v>8</v>
      </c>
      <c r="B370" s="6"/>
      <c r="C370" s="7"/>
      <c r="H370" s="13" t="str">
        <f>_xlfn.IFNA(TEXT(VLOOKUP(B370,Lookup!A367:B519,2,FALSE)*$E$1/440,"#.0#"),"")</f>
        <v/>
      </c>
      <c r="I370" s="14" t="str">
        <f t="shared" si="5"/>
        <v/>
      </c>
    </row>
    <row r="371" spans="1:9" x14ac:dyDescent="0.25">
      <c r="A371" s="12">
        <f>CEILING(SUM($C$5:$C371)/($A$3/$B$3),1)</f>
        <v>8</v>
      </c>
      <c r="B371" s="6"/>
      <c r="C371" s="7"/>
      <c r="H371" s="13" t="str">
        <f>_xlfn.IFNA(TEXT(VLOOKUP(B371,Lookup!A368:B520,2,FALSE)*$E$1/440,"#.0#"),"")</f>
        <v/>
      </c>
      <c r="I371" s="14" t="str">
        <f t="shared" si="5"/>
        <v/>
      </c>
    </row>
    <row r="372" spans="1:9" x14ac:dyDescent="0.25">
      <c r="A372" s="12">
        <f>CEILING(SUM($C$5:$C372)/($A$3/$B$3),1)</f>
        <v>8</v>
      </c>
      <c r="B372" s="6"/>
      <c r="C372" s="7"/>
      <c r="H372" s="13" t="str">
        <f>_xlfn.IFNA(TEXT(VLOOKUP(B372,Lookup!A369:B521,2,FALSE)*$E$1/440,"#.0#"),"")</f>
        <v/>
      </c>
      <c r="I372" s="14" t="str">
        <f t="shared" si="5"/>
        <v/>
      </c>
    </row>
    <row r="373" spans="1:9" x14ac:dyDescent="0.25">
      <c r="A373" s="12">
        <f>CEILING(SUM($C$5:$C373)/($A$3/$B$3),1)</f>
        <v>8</v>
      </c>
      <c r="B373" s="6"/>
      <c r="C373" s="7"/>
      <c r="H373" s="13" t="str">
        <f>_xlfn.IFNA(TEXT(VLOOKUP(B373,Lookup!A370:B522,2,FALSE)*$E$1/440,"#.0#"),"")</f>
        <v/>
      </c>
      <c r="I373" s="14" t="str">
        <f t="shared" si="5"/>
        <v/>
      </c>
    </row>
    <row r="374" spans="1:9" x14ac:dyDescent="0.25">
      <c r="A374" s="12">
        <f>CEILING(SUM($C$5:$C374)/($A$3/$B$3),1)</f>
        <v>8</v>
      </c>
      <c r="B374" s="6"/>
      <c r="C374" s="7"/>
      <c r="H374" s="13" t="str">
        <f>_xlfn.IFNA(TEXT(VLOOKUP(B374,Lookup!A371:B523,2,FALSE)*$E$1/440,"#.0#"),"")</f>
        <v/>
      </c>
      <c r="I374" s="14" t="str">
        <f t="shared" si="5"/>
        <v/>
      </c>
    </row>
    <row r="375" spans="1:9" x14ac:dyDescent="0.25">
      <c r="A375" s="12">
        <f>CEILING(SUM($C$5:$C375)/($A$3/$B$3),1)</f>
        <v>8</v>
      </c>
      <c r="B375" s="6"/>
      <c r="C375" s="7"/>
      <c r="H375" s="13" t="str">
        <f>_xlfn.IFNA(TEXT(VLOOKUP(B375,Lookup!A372:B524,2,FALSE)*$E$1/440,"#.0#"),"")</f>
        <v/>
      </c>
      <c r="I375" s="14" t="str">
        <f t="shared" si="5"/>
        <v/>
      </c>
    </row>
    <row r="376" spans="1:9" x14ac:dyDescent="0.25">
      <c r="A376" s="12">
        <f>CEILING(SUM($C$5:$C376)/($A$3/$B$3),1)</f>
        <v>8</v>
      </c>
      <c r="B376" s="6"/>
      <c r="C376" s="7"/>
      <c r="H376" s="13" t="str">
        <f>_xlfn.IFNA(TEXT(VLOOKUP(B376,Lookup!A373:B525,2,FALSE)*$E$1/440,"#.0#"),"")</f>
        <v/>
      </c>
      <c r="I376" s="14" t="str">
        <f t="shared" si="5"/>
        <v/>
      </c>
    </row>
    <row r="377" spans="1:9" x14ac:dyDescent="0.25">
      <c r="A377" s="12">
        <f>CEILING(SUM($C$5:$C377)/($A$3/$B$3),1)</f>
        <v>8</v>
      </c>
      <c r="B377" s="6"/>
      <c r="C377" s="7"/>
      <c r="H377" s="13" t="str">
        <f>_xlfn.IFNA(TEXT(VLOOKUP(B377,Lookup!A374:B526,2,FALSE)*$E$1/440,"#.0#"),"")</f>
        <v/>
      </c>
      <c r="I377" s="14" t="str">
        <f t="shared" si="5"/>
        <v/>
      </c>
    </row>
    <row r="378" spans="1:9" x14ac:dyDescent="0.25">
      <c r="A378" s="12">
        <f>CEILING(SUM($C$5:$C378)/($A$3/$B$3),1)</f>
        <v>8</v>
      </c>
      <c r="B378" s="6"/>
      <c r="C378" s="7"/>
      <c r="H378" s="13" t="str">
        <f>_xlfn.IFNA(TEXT(VLOOKUP(B378,Lookup!A375:B527,2,FALSE)*$E$1/440,"#.0#"),"")</f>
        <v/>
      </c>
      <c r="I378" s="14" t="str">
        <f t="shared" si="5"/>
        <v/>
      </c>
    </row>
    <row r="379" spans="1:9" x14ac:dyDescent="0.25">
      <c r="A379" s="12">
        <f>CEILING(SUM($C$5:$C379)/($A$3/$B$3),1)</f>
        <v>8</v>
      </c>
      <c r="B379" s="6"/>
      <c r="C379" s="7"/>
      <c r="H379" s="13" t="str">
        <f>_xlfn.IFNA(TEXT(VLOOKUP(B379,Lookup!A376:B528,2,FALSE)*$E$1/440,"#.0#"),"")</f>
        <v/>
      </c>
      <c r="I379" s="14" t="str">
        <f t="shared" si="5"/>
        <v/>
      </c>
    </row>
    <row r="380" spans="1:9" x14ac:dyDescent="0.25">
      <c r="A380" s="12">
        <f>CEILING(SUM($C$5:$C380)/($A$3/$B$3),1)</f>
        <v>8</v>
      </c>
      <c r="B380" s="6"/>
      <c r="C380" s="7"/>
      <c r="H380" s="13" t="str">
        <f>_xlfn.IFNA(TEXT(VLOOKUP(B380,Lookup!A377:B529,2,FALSE)*$E$1/440,"#.0#"),"")</f>
        <v/>
      </c>
      <c r="I380" s="14" t="str">
        <f t="shared" si="5"/>
        <v/>
      </c>
    </row>
    <row r="381" spans="1:9" x14ac:dyDescent="0.25">
      <c r="A381" s="12">
        <f>CEILING(SUM($C$5:$C381)/($A$3/$B$3),1)</f>
        <v>8</v>
      </c>
      <c r="B381" s="6"/>
      <c r="C381" s="7"/>
      <c r="H381" s="13" t="str">
        <f>_xlfn.IFNA(TEXT(VLOOKUP(B381,Lookup!A378:B530,2,FALSE)*$E$1/440,"#.0#"),"")</f>
        <v/>
      </c>
      <c r="I381" s="14" t="str">
        <f t="shared" si="5"/>
        <v/>
      </c>
    </row>
    <row r="382" spans="1:9" x14ac:dyDescent="0.25">
      <c r="A382" s="12">
        <f>CEILING(SUM($C$5:$C382)/($A$3/$B$3),1)</f>
        <v>8</v>
      </c>
      <c r="B382" s="6"/>
      <c r="C382" s="7"/>
      <c r="H382" s="13" t="str">
        <f>_xlfn.IFNA(TEXT(VLOOKUP(B382,Lookup!A379:B531,2,FALSE)*$E$1/440,"#.0#"),"")</f>
        <v/>
      </c>
      <c r="I382" s="14" t="str">
        <f t="shared" si="5"/>
        <v/>
      </c>
    </row>
    <row r="383" spans="1:9" x14ac:dyDescent="0.25">
      <c r="A383" s="12">
        <f>CEILING(SUM($C$5:$C383)/($A$3/$B$3),1)</f>
        <v>8</v>
      </c>
      <c r="B383" s="6"/>
      <c r="C383" s="7"/>
      <c r="H383" s="13" t="str">
        <f>_xlfn.IFNA(TEXT(VLOOKUP(B383,Lookup!A380:B532,2,FALSE)*$E$1/440,"#.0#"),"")</f>
        <v/>
      </c>
      <c r="I383" s="14" t="str">
        <f t="shared" si="5"/>
        <v/>
      </c>
    </row>
    <row r="384" spans="1:9" x14ac:dyDescent="0.25">
      <c r="A384" s="12">
        <f>CEILING(SUM($C$5:$C384)/($A$3/$B$3),1)</f>
        <v>8</v>
      </c>
      <c r="B384" s="6"/>
      <c r="C384" s="7"/>
      <c r="H384" s="13" t="str">
        <f>_xlfn.IFNA(TEXT(VLOOKUP(B384,Lookup!A381:B533,2,FALSE)*$E$1/440,"#.0#"),"")</f>
        <v/>
      </c>
      <c r="I384" s="14" t="str">
        <f t="shared" si="5"/>
        <v/>
      </c>
    </row>
    <row r="385" spans="1:9" x14ac:dyDescent="0.25">
      <c r="A385" s="12">
        <f>CEILING(SUM($C$5:$C385)/($A$3/$B$3),1)</f>
        <v>8</v>
      </c>
      <c r="B385" s="6"/>
      <c r="C385" s="7"/>
      <c r="H385" s="13" t="str">
        <f>_xlfn.IFNA(TEXT(VLOOKUP(B385,Lookup!A382:B534,2,FALSE)*$E$1/440,"#.0#"),"")</f>
        <v/>
      </c>
      <c r="I385" s="14" t="str">
        <f t="shared" si="5"/>
        <v/>
      </c>
    </row>
    <row r="386" spans="1:9" x14ac:dyDescent="0.25">
      <c r="A386" s="12">
        <f>CEILING(SUM($C$5:$C386)/($A$3/$B$3),1)</f>
        <v>8</v>
      </c>
      <c r="B386" s="6"/>
      <c r="C386" s="7"/>
      <c r="H386" s="13" t="str">
        <f>_xlfn.IFNA(TEXT(VLOOKUP(B386,Lookup!A383:B535,2,FALSE)*$E$1/440,"#.0#"),"")</f>
        <v/>
      </c>
      <c r="I386" s="14" t="str">
        <f t="shared" si="5"/>
        <v/>
      </c>
    </row>
    <row r="387" spans="1:9" x14ac:dyDescent="0.25">
      <c r="A387" s="12">
        <f>CEILING(SUM($C$5:$C387)/($A$3/$B$3),1)</f>
        <v>8</v>
      </c>
      <c r="B387" s="6"/>
      <c r="C387" s="7"/>
      <c r="H387" s="13" t="str">
        <f>_xlfn.IFNA(TEXT(VLOOKUP(B387,Lookup!A384:B536,2,FALSE)*$E$1/440,"#.0#"),"")</f>
        <v/>
      </c>
      <c r="I387" s="14" t="str">
        <f t="shared" si="5"/>
        <v/>
      </c>
    </row>
    <row r="388" spans="1:9" x14ac:dyDescent="0.25">
      <c r="A388" s="12">
        <f>CEILING(SUM($C$5:$C388)/($A$3/$B$3),1)</f>
        <v>8</v>
      </c>
      <c r="B388" s="6"/>
      <c r="C388" s="7"/>
      <c r="H388" s="13" t="str">
        <f>_xlfn.IFNA(TEXT(VLOOKUP(B388,Lookup!A385:B537,2,FALSE)*$E$1/440,"#.0#"),"")</f>
        <v/>
      </c>
      <c r="I388" s="14" t="str">
        <f t="shared" si="5"/>
        <v/>
      </c>
    </row>
    <row r="389" spans="1:9" x14ac:dyDescent="0.25">
      <c r="A389" s="12">
        <f>CEILING(SUM($C$5:$C389)/($A$3/$B$3),1)</f>
        <v>8</v>
      </c>
      <c r="B389" s="6"/>
      <c r="C389" s="7"/>
      <c r="H389" s="13" t="str">
        <f>_xlfn.IFNA(TEXT(VLOOKUP(B389,Lookup!A386:B538,2,FALSE)*$E$1/440,"#.0#"),"")</f>
        <v/>
      </c>
      <c r="I389" s="14" t="str">
        <f t="shared" si="5"/>
        <v/>
      </c>
    </row>
    <row r="390" spans="1:9" x14ac:dyDescent="0.25">
      <c r="A390" s="12">
        <f>CEILING(SUM($C$5:$C390)/($A$3/$B$3),1)</f>
        <v>8</v>
      </c>
      <c r="B390" s="6"/>
      <c r="C390" s="7"/>
      <c r="H390" s="13" t="str">
        <f>_xlfn.IFNA(TEXT(VLOOKUP(B390,Lookup!A387:B539,2,FALSE)*$E$1/440,"#.0#"),"")</f>
        <v/>
      </c>
      <c r="I390" s="14" t="str">
        <f t="shared" ref="I390:I453" si="6">IF(C390&gt;0,TEXT((60000*$C390*$B$3)/($H$1),"#"),"")</f>
        <v/>
      </c>
    </row>
    <row r="391" spans="1:9" x14ac:dyDescent="0.25">
      <c r="A391" s="12">
        <f>CEILING(SUM($C$5:$C391)/($A$3/$B$3),1)</f>
        <v>8</v>
      </c>
      <c r="B391" s="6"/>
      <c r="C391" s="7"/>
      <c r="H391" s="13" t="str">
        <f>_xlfn.IFNA(TEXT(VLOOKUP(B391,Lookup!A388:B540,2,FALSE)*$E$1/440,"#.0#"),"")</f>
        <v/>
      </c>
      <c r="I391" s="14" t="str">
        <f t="shared" si="6"/>
        <v/>
      </c>
    </row>
    <row r="392" spans="1:9" x14ac:dyDescent="0.25">
      <c r="A392" s="12">
        <f>CEILING(SUM($C$5:$C392)/($A$3/$B$3),1)</f>
        <v>8</v>
      </c>
      <c r="B392" s="6"/>
      <c r="C392" s="7"/>
      <c r="H392" s="13" t="str">
        <f>_xlfn.IFNA(TEXT(VLOOKUP(B392,Lookup!A389:B541,2,FALSE)*$E$1/440,"#.0#"),"")</f>
        <v/>
      </c>
      <c r="I392" s="14" t="str">
        <f t="shared" si="6"/>
        <v/>
      </c>
    </row>
    <row r="393" spans="1:9" x14ac:dyDescent="0.25">
      <c r="A393" s="12">
        <f>CEILING(SUM($C$5:$C393)/($A$3/$B$3),1)</f>
        <v>8</v>
      </c>
      <c r="B393" s="6"/>
      <c r="C393" s="7"/>
      <c r="H393" s="13" t="str">
        <f>_xlfn.IFNA(TEXT(VLOOKUP(B393,Lookup!A390:B542,2,FALSE)*$E$1/440,"#.0#"),"")</f>
        <v/>
      </c>
      <c r="I393" s="14" t="str">
        <f t="shared" si="6"/>
        <v/>
      </c>
    </row>
    <row r="394" spans="1:9" x14ac:dyDescent="0.25">
      <c r="A394" s="12">
        <f>CEILING(SUM($C$5:$C394)/($A$3/$B$3),1)</f>
        <v>8</v>
      </c>
      <c r="B394" s="6"/>
      <c r="C394" s="7"/>
      <c r="H394" s="13" t="str">
        <f>_xlfn.IFNA(TEXT(VLOOKUP(B394,Lookup!A391:B543,2,FALSE)*$E$1/440,"#.0#"),"")</f>
        <v/>
      </c>
      <c r="I394" s="14" t="str">
        <f t="shared" si="6"/>
        <v/>
      </c>
    </row>
    <row r="395" spans="1:9" x14ac:dyDescent="0.25">
      <c r="A395" s="12">
        <f>CEILING(SUM($C$5:$C395)/($A$3/$B$3),1)</f>
        <v>8</v>
      </c>
      <c r="B395" s="6"/>
      <c r="C395" s="7"/>
      <c r="H395" s="13" t="str">
        <f>_xlfn.IFNA(TEXT(VLOOKUP(B395,Lookup!A392:B544,2,FALSE)*$E$1/440,"#.0#"),"")</f>
        <v/>
      </c>
      <c r="I395" s="14" t="str">
        <f t="shared" si="6"/>
        <v/>
      </c>
    </row>
    <row r="396" spans="1:9" x14ac:dyDescent="0.25">
      <c r="A396" s="12">
        <f>CEILING(SUM($C$5:$C396)/($A$3/$B$3),1)</f>
        <v>8</v>
      </c>
      <c r="B396" s="6"/>
      <c r="C396" s="7"/>
      <c r="H396" s="13" t="str">
        <f>_xlfn.IFNA(TEXT(VLOOKUP(B396,Lookup!A393:B545,2,FALSE)*$E$1/440,"#.0#"),"")</f>
        <v/>
      </c>
      <c r="I396" s="14" t="str">
        <f t="shared" si="6"/>
        <v/>
      </c>
    </row>
    <row r="397" spans="1:9" x14ac:dyDescent="0.25">
      <c r="A397" s="12">
        <f>CEILING(SUM($C$5:$C397)/($A$3/$B$3),1)</f>
        <v>8</v>
      </c>
      <c r="B397" s="6"/>
      <c r="C397" s="7"/>
      <c r="H397" s="13" t="str">
        <f>_xlfn.IFNA(TEXT(VLOOKUP(B397,Lookup!A394:B546,2,FALSE)*$E$1/440,"#.0#"),"")</f>
        <v/>
      </c>
      <c r="I397" s="14" t="str">
        <f t="shared" si="6"/>
        <v/>
      </c>
    </row>
    <row r="398" spans="1:9" x14ac:dyDescent="0.25">
      <c r="A398" s="12">
        <f>CEILING(SUM($C$5:$C398)/($A$3/$B$3),1)</f>
        <v>8</v>
      </c>
      <c r="B398" s="6"/>
      <c r="C398" s="7"/>
      <c r="H398" s="13" t="str">
        <f>_xlfn.IFNA(TEXT(VLOOKUP(B398,Lookup!A395:B547,2,FALSE)*$E$1/440,"#.0#"),"")</f>
        <v/>
      </c>
      <c r="I398" s="14" t="str">
        <f t="shared" si="6"/>
        <v/>
      </c>
    </row>
    <row r="399" spans="1:9" x14ac:dyDescent="0.25">
      <c r="A399" s="12">
        <f>CEILING(SUM($C$5:$C399)/($A$3/$B$3),1)</f>
        <v>8</v>
      </c>
      <c r="B399" s="6"/>
      <c r="C399" s="7"/>
      <c r="H399" s="13" t="str">
        <f>_xlfn.IFNA(TEXT(VLOOKUP(B399,Lookup!A396:B548,2,FALSE)*$E$1/440,"#.0#"),"")</f>
        <v/>
      </c>
      <c r="I399" s="14" t="str">
        <f t="shared" si="6"/>
        <v/>
      </c>
    </row>
    <row r="400" spans="1:9" x14ac:dyDescent="0.25">
      <c r="A400" s="12">
        <f>CEILING(SUM($C$5:$C400)/($A$3/$B$3),1)</f>
        <v>8</v>
      </c>
      <c r="B400" s="6"/>
      <c r="C400" s="7"/>
      <c r="H400" s="13" t="str">
        <f>_xlfn.IFNA(TEXT(VLOOKUP(B400,Lookup!A397:B549,2,FALSE)*$E$1/440,"#.0#"),"")</f>
        <v/>
      </c>
      <c r="I400" s="14" t="str">
        <f t="shared" si="6"/>
        <v/>
      </c>
    </row>
    <row r="401" spans="1:9" x14ac:dyDescent="0.25">
      <c r="A401" s="12">
        <f>CEILING(SUM($C$5:$C401)/($A$3/$B$3),1)</f>
        <v>8</v>
      </c>
      <c r="B401" s="6"/>
      <c r="C401" s="7"/>
      <c r="H401" s="13" t="str">
        <f>_xlfn.IFNA(TEXT(VLOOKUP(B401,Lookup!A398:B550,2,FALSE)*$E$1/440,"#.0#"),"")</f>
        <v/>
      </c>
      <c r="I401" s="14" t="str">
        <f t="shared" si="6"/>
        <v/>
      </c>
    </row>
    <row r="402" spans="1:9" x14ac:dyDescent="0.25">
      <c r="A402" s="12">
        <f>CEILING(SUM($C$5:$C402)/($A$3/$B$3),1)</f>
        <v>8</v>
      </c>
      <c r="B402" s="6"/>
      <c r="C402" s="7"/>
      <c r="H402" s="13" t="str">
        <f>_xlfn.IFNA(TEXT(VLOOKUP(B402,Lookup!A399:B551,2,FALSE)*$E$1/440,"#.0#"),"")</f>
        <v/>
      </c>
      <c r="I402" s="14" t="str">
        <f t="shared" si="6"/>
        <v/>
      </c>
    </row>
    <row r="403" spans="1:9" x14ac:dyDescent="0.25">
      <c r="A403" s="12">
        <f>CEILING(SUM($C$5:$C403)/($A$3/$B$3),1)</f>
        <v>8</v>
      </c>
      <c r="B403" s="6"/>
      <c r="C403" s="7"/>
      <c r="H403" s="13" t="str">
        <f>_xlfn.IFNA(TEXT(VLOOKUP(B403,Lookup!A400:B552,2,FALSE)*$E$1/440,"#.0#"),"")</f>
        <v/>
      </c>
      <c r="I403" s="14" t="str">
        <f t="shared" si="6"/>
        <v/>
      </c>
    </row>
    <row r="404" spans="1:9" x14ac:dyDescent="0.25">
      <c r="A404" s="12">
        <f>CEILING(SUM($C$5:$C404)/($A$3/$B$3),1)</f>
        <v>8</v>
      </c>
      <c r="B404" s="6"/>
      <c r="C404" s="7"/>
      <c r="H404" s="13" t="str">
        <f>_xlfn.IFNA(TEXT(VLOOKUP(B404,Lookup!A401:B553,2,FALSE)*$E$1/440,"#.0#"),"")</f>
        <v/>
      </c>
      <c r="I404" s="14" t="str">
        <f t="shared" si="6"/>
        <v/>
      </c>
    </row>
    <row r="405" spans="1:9" x14ac:dyDescent="0.25">
      <c r="A405" s="12">
        <f>CEILING(SUM($C$5:$C405)/($A$3/$B$3),1)</f>
        <v>8</v>
      </c>
      <c r="B405" s="6"/>
      <c r="C405" s="7"/>
      <c r="H405" s="13" t="str">
        <f>_xlfn.IFNA(TEXT(VLOOKUP(B405,Lookup!A402:B554,2,FALSE)*$E$1/440,"#.0#"),"")</f>
        <v/>
      </c>
      <c r="I405" s="14" t="str">
        <f t="shared" si="6"/>
        <v/>
      </c>
    </row>
    <row r="406" spans="1:9" x14ac:dyDescent="0.25">
      <c r="A406" s="12">
        <f>CEILING(SUM($C$5:$C406)/($A$3/$B$3),1)</f>
        <v>8</v>
      </c>
      <c r="B406" s="6"/>
      <c r="C406" s="7"/>
      <c r="H406" s="13" t="str">
        <f>_xlfn.IFNA(TEXT(VLOOKUP(B406,Lookup!A403:B555,2,FALSE)*$E$1/440,"#.0#"),"")</f>
        <v/>
      </c>
      <c r="I406" s="14" t="str">
        <f t="shared" si="6"/>
        <v/>
      </c>
    </row>
    <row r="407" spans="1:9" x14ac:dyDescent="0.25">
      <c r="A407" s="12">
        <f>CEILING(SUM($C$5:$C407)/($A$3/$B$3),1)</f>
        <v>8</v>
      </c>
      <c r="B407" s="6"/>
      <c r="C407" s="7"/>
      <c r="H407" s="13" t="str">
        <f>_xlfn.IFNA(TEXT(VLOOKUP(B407,Lookup!A404:B556,2,FALSE)*$E$1/440,"#.0#"),"")</f>
        <v/>
      </c>
      <c r="I407" s="14" t="str">
        <f t="shared" si="6"/>
        <v/>
      </c>
    </row>
    <row r="408" spans="1:9" x14ac:dyDescent="0.25">
      <c r="A408" s="12">
        <f>CEILING(SUM($C$5:$C408)/($A$3/$B$3),1)</f>
        <v>8</v>
      </c>
      <c r="B408" s="6"/>
      <c r="C408" s="7"/>
      <c r="H408" s="13" t="str">
        <f>_xlfn.IFNA(TEXT(VLOOKUP(B408,Lookup!A405:B557,2,FALSE)*$E$1/440,"#.0#"),"")</f>
        <v/>
      </c>
      <c r="I408" s="14" t="str">
        <f t="shared" si="6"/>
        <v/>
      </c>
    </row>
    <row r="409" spans="1:9" x14ac:dyDescent="0.25">
      <c r="A409" s="12">
        <f>CEILING(SUM($C$5:$C409)/($A$3/$B$3),1)</f>
        <v>8</v>
      </c>
      <c r="B409" s="6"/>
      <c r="C409" s="7"/>
      <c r="H409" s="13" t="str">
        <f>_xlfn.IFNA(TEXT(VLOOKUP(B409,Lookup!A406:B558,2,FALSE)*$E$1/440,"#.0#"),"")</f>
        <v/>
      </c>
      <c r="I409" s="14" t="str">
        <f t="shared" si="6"/>
        <v/>
      </c>
    </row>
    <row r="410" spans="1:9" x14ac:dyDescent="0.25">
      <c r="A410" s="12">
        <f>CEILING(SUM($C$5:$C410)/($A$3/$B$3),1)</f>
        <v>8</v>
      </c>
      <c r="B410" s="6"/>
      <c r="C410" s="7"/>
      <c r="H410" s="13" t="str">
        <f>_xlfn.IFNA(TEXT(VLOOKUP(B410,Lookup!A407:B559,2,FALSE)*$E$1/440,"#.0#"),"")</f>
        <v/>
      </c>
      <c r="I410" s="14" t="str">
        <f t="shared" si="6"/>
        <v/>
      </c>
    </row>
    <row r="411" spans="1:9" x14ac:dyDescent="0.25">
      <c r="A411" s="12">
        <f>CEILING(SUM($C$5:$C411)/($A$3/$B$3),1)</f>
        <v>8</v>
      </c>
      <c r="B411" s="6"/>
      <c r="C411" s="7"/>
      <c r="H411" s="13" t="str">
        <f>_xlfn.IFNA(TEXT(VLOOKUP(B411,Lookup!A408:B560,2,FALSE)*$E$1/440,"#.0#"),"")</f>
        <v/>
      </c>
      <c r="I411" s="14" t="str">
        <f t="shared" si="6"/>
        <v/>
      </c>
    </row>
    <row r="412" spans="1:9" x14ac:dyDescent="0.25">
      <c r="A412" s="12">
        <f>CEILING(SUM($C$5:$C412)/($A$3/$B$3),1)</f>
        <v>8</v>
      </c>
      <c r="B412" s="6"/>
      <c r="C412" s="7"/>
      <c r="H412" s="13" t="str">
        <f>_xlfn.IFNA(TEXT(VLOOKUP(B412,Lookup!A409:B561,2,FALSE)*$E$1/440,"#.0#"),"")</f>
        <v/>
      </c>
      <c r="I412" s="14" t="str">
        <f t="shared" si="6"/>
        <v/>
      </c>
    </row>
    <row r="413" spans="1:9" x14ac:dyDescent="0.25">
      <c r="A413" s="12">
        <f>CEILING(SUM($C$5:$C413)/($A$3/$B$3),1)</f>
        <v>8</v>
      </c>
      <c r="B413" s="6"/>
      <c r="C413" s="7"/>
      <c r="H413" s="13" t="str">
        <f>_xlfn.IFNA(TEXT(VLOOKUP(B413,Lookup!A410:B562,2,FALSE)*$E$1/440,"#.0#"),"")</f>
        <v/>
      </c>
      <c r="I413" s="14" t="str">
        <f t="shared" si="6"/>
        <v/>
      </c>
    </row>
    <row r="414" spans="1:9" x14ac:dyDescent="0.25">
      <c r="A414" s="12">
        <f>CEILING(SUM($C$5:$C414)/($A$3/$B$3),1)</f>
        <v>8</v>
      </c>
      <c r="B414" s="6"/>
      <c r="C414" s="7"/>
      <c r="H414" s="13" t="str">
        <f>_xlfn.IFNA(TEXT(VLOOKUP(B414,Lookup!A411:B563,2,FALSE)*$E$1/440,"#.0#"),"")</f>
        <v/>
      </c>
      <c r="I414" s="14" t="str">
        <f t="shared" si="6"/>
        <v/>
      </c>
    </row>
    <row r="415" spans="1:9" x14ac:dyDescent="0.25">
      <c r="A415" s="12">
        <f>CEILING(SUM($C$5:$C415)/($A$3/$B$3),1)</f>
        <v>8</v>
      </c>
      <c r="B415" s="6"/>
      <c r="C415" s="7"/>
      <c r="H415" s="13" t="str">
        <f>_xlfn.IFNA(TEXT(VLOOKUP(B415,Lookup!A412:B564,2,FALSE)*$E$1/440,"#.0#"),"")</f>
        <v/>
      </c>
      <c r="I415" s="14" t="str">
        <f t="shared" si="6"/>
        <v/>
      </c>
    </row>
    <row r="416" spans="1:9" x14ac:dyDescent="0.25">
      <c r="A416" s="12">
        <f>CEILING(SUM($C$5:$C416)/($A$3/$B$3),1)</f>
        <v>8</v>
      </c>
      <c r="B416" s="6"/>
      <c r="C416" s="7"/>
      <c r="H416" s="13" t="str">
        <f>_xlfn.IFNA(TEXT(VLOOKUP(B416,Lookup!A413:B565,2,FALSE)*$E$1/440,"#.0#"),"")</f>
        <v/>
      </c>
      <c r="I416" s="14" t="str">
        <f t="shared" si="6"/>
        <v/>
      </c>
    </row>
    <row r="417" spans="1:9" x14ac:dyDescent="0.25">
      <c r="A417" s="12">
        <f>CEILING(SUM($C$5:$C417)/($A$3/$B$3),1)</f>
        <v>8</v>
      </c>
      <c r="B417" s="6"/>
      <c r="C417" s="7"/>
      <c r="H417" s="13" t="str">
        <f>_xlfn.IFNA(TEXT(VLOOKUP(B417,Lookup!A414:B566,2,FALSE)*$E$1/440,"#.0#"),"")</f>
        <v/>
      </c>
      <c r="I417" s="14" t="str">
        <f t="shared" si="6"/>
        <v/>
      </c>
    </row>
    <row r="418" spans="1:9" x14ac:dyDescent="0.25">
      <c r="A418" s="12">
        <f>CEILING(SUM($C$5:$C418)/($A$3/$B$3),1)</f>
        <v>8</v>
      </c>
      <c r="B418" s="6"/>
      <c r="C418" s="7"/>
      <c r="H418" s="13" t="str">
        <f>_xlfn.IFNA(TEXT(VLOOKUP(B418,Lookup!A415:B567,2,FALSE)*$E$1/440,"#.0#"),"")</f>
        <v/>
      </c>
      <c r="I418" s="14" t="str">
        <f t="shared" si="6"/>
        <v/>
      </c>
    </row>
    <row r="419" spans="1:9" x14ac:dyDescent="0.25">
      <c r="A419" s="12">
        <f>CEILING(SUM($C$5:$C419)/($A$3/$B$3),1)</f>
        <v>8</v>
      </c>
      <c r="B419" s="6"/>
      <c r="C419" s="7"/>
      <c r="H419" s="13" t="str">
        <f>_xlfn.IFNA(TEXT(VLOOKUP(B419,Lookup!A416:B568,2,FALSE)*$E$1/440,"#.0#"),"")</f>
        <v/>
      </c>
      <c r="I419" s="14" t="str">
        <f t="shared" si="6"/>
        <v/>
      </c>
    </row>
    <row r="420" spans="1:9" x14ac:dyDescent="0.25">
      <c r="A420" s="12">
        <f>CEILING(SUM($C$5:$C420)/($A$3/$B$3),1)</f>
        <v>8</v>
      </c>
      <c r="B420" s="6"/>
      <c r="C420" s="7"/>
      <c r="H420" s="13" t="str">
        <f>_xlfn.IFNA(TEXT(VLOOKUP(B420,Lookup!A417:B569,2,FALSE)*$E$1/440,"#.0#"),"")</f>
        <v/>
      </c>
      <c r="I420" s="14" t="str">
        <f t="shared" si="6"/>
        <v/>
      </c>
    </row>
    <row r="421" spans="1:9" x14ac:dyDescent="0.25">
      <c r="A421" s="12">
        <f>CEILING(SUM($C$5:$C421)/($A$3/$B$3),1)</f>
        <v>8</v>
      </c>
      <c r="B421" s="6"/>
      <c r="C421" s="7"/>
      <c r="H421" s="13" t="str">
        <f>_xlfn.IFNA(TEXT(VLOOKUP(B421,Lookup!A418:B570,2,FALSE)*$E$1/440,"#.0#"),"")</f>
        <v/>
      </c>
      <c r="I421" s="14" t="str">
        <f t="shared" si="6"/>
        <v/>
      </c>
    </row>
    <row r="422" spans="1:9" x14ac:dyDescent="0.25">
      <c r="A422" s="12">
        <f>CEILING(SUM($C$5:$C422)/($A$3/$B$3),1)</f>
        <v>8</v>
      </c>
      <c r="B422" s="6"/>
      <c r="C422" s="7"/>
      <c r="H422" s="13" t="str">
        <f>_xlfn.IFNA(TEXT(VLOOKUP(B422,Lookup!A419:B571,2,FALSE)*$E$1/440,"#.0#"),"")</f>
        <v/>
      </c>
      <c r="I422" s="14" t="str">
        <f t="shared" si="6"/>
        <v/>
      </c>
    </row>
    <row r="423" spans="1:9" x14ac:dyDescent="0.25">
      <c r="A423" s="12">
        <f>CEILING(SUM($C$5:$C423)/($A$3/$B$3),1)</f>
        <v>8</v>
      </c>
      <c r="B423" s="6"/>
      <c r="C423" s="7"/>
      <c r="H423" s="13" t="str">
        <f>_xlfn.IFNA(TEXT(VLOOKUP(B423,Lookup!A420:B572,2,FALSE)*$E$1/440,"#.0#"),"")</f>
        <v/>
      </c>
      <c r="I423" s="14" t="str">
        <f t="shared" si="6"/>
        <v/>
      </c>
    </row>
    <row r="424" spans="1:9" x14ac:dyDescent="0.25">
      <c r="A424" s="12">
        <f>CEILING(SUM($C$5:$C424)/($A$3/$B$3),1)</f>
        <v>8</v>
      </c>
      <c r="B424" s="6"/>
      <c r="C424" s="7"/>
      <c r="H424" s="13" t="str">
        <f>_xlfn.IFNA(TEXT(VLOOKUP(B424,Lookup!A421:B573,2,FALSE)*$E$1/440,"#.0#"),"")</f>
        <v/>
      </c>
      <c r="I424" s="14" t="str">
        <f t="shared" si="6"/>
        <v/>
      </c>
    </row>
    <row r="425" spans="1:9" x14ac:dyDescent="0.25">
      <c r="A425" s="12">
        <f>CEILING(SUM($C$5:$C425)/($A$3/$B$3),1)</f>
        <v>8</v>
      </c>
      <c r="B425" s="6"/>
      <c r="C425" s="7"/>
      <c r="H425" s="13" t="str">
        <f>_xlfn.IFNA(TEXT(VLOOKUP(B425,Lookup!A422:B574,2,FALSE)*$E$1/440,"#.0#"),"")</f>
        <v/>
      </c>
      <c r="I425" s="14" t="str">
        <f t="shared" si="6"/>
        <v/>
      </c>
    </row>
    <row r="426" spans="1:9" x14ac:dyDescent="0.25">
      <c r="A426" s="12">
        <f>CEILING(SUM($C$5:$C426)/($A$3/$B$3),1)</f>
        <v>8</v>
      </c>
      <c r="B426" s="6"/>
      <c r="C426" s="7"/>
      <c r="H426" s="13" t="str">
        <f>_xlfn.IFNA(TEXT(VLOOKUP(B426,Lookup!A423:B575,2,FALSE)*$E$1/440,"#.0#"),"")</f>
        <v/>
      </c>
      <c r="I426" s="14" t="str">
        <f t="shared" si="6"/>
        <v/>
      </c>
    </row>
    <row r="427" spans="1:9" x14ac:dyDescent="0.25">
      <c r="A427" s="12">
        <f>CEILING(SUM($C$5:$C427)/($A$3/$B$3),1)</f>
        <v>8</v>
      </c>
      <c r="B427" s="6"/>
      <c r="C427" s="7"/>
      <c r="H427" s="13" t="str">
        <f>_xlfn.IFNA(TEXT(VLOOKUP(B427,Lookup!A424:B576,2,FALSE)*$E$1/440,"#.0#"),"")</f>
        <v/>
      </c>
      <c r="I427" s="14" t="str">
        <f t="shared" si="6"/>
        <v/>
      </c>
    </row>
    <row r="428" spans="1:9" x14ac:dyDescent="0.25">
      <c r="A428" s="12">
        <f>CEILING(SUM($C$5:$C428)/($A$3/$B$3),1)</f>
        <v>8</v>
      </c>
      <c r="B428" s="6"/>
      <c r="C428" s="7"/>
      <c r="H428" s="13" t="str">
        <f>_xlfn.IFNA(TEXT(VLOOKUP(B428,Lookup!A425:B577,2,FALSE)*$E$1/440,"#.0#"),"")</f>
        <v/>
      </c>
      <c r="I428" s="14" t="str">
        <f t="shared" si="6"/>
        <v/>
      </c>
    </row>
    <row r="429" spans="1:9" x14ac:dyDescent="0.25">
      <c r="A429" s="12">
        <f>CEILING(SUM($C$5:$C429)/($A$3/$B$3),1)</f>
        <v>8</v>
      </c>
      <c r="B429" s="6"/>
      <c r="C429" s="7"/>
      <c r="H429" s="13" t="str">
        <f>_xlfn.IFNA(TEXT(VLOOKUP(B429,Lookup!A426:B578,2,FALSE)*$E$1/440,"#.0#"),"")</f>
        <v/>
      </c>
      <c r="I429" s="14" t="str">
        <f t="shared" si="6"/>
        <v/>
      </c>
    </row>
    <row r="430" spans="1:9" x14ac:dyDescent="0.25">
      <c r="A430" s="12">
        <f>CEILING(SUM($C$5:$C430)/($A$3/$B$3),1)</f>
        <v>8</v>
      </c>
      <c r="B430" s="6"/>
      <c r="C430" s="7"/>
      <c r="H430" s="13" t="str">
        <f>_xlfn.IFNA(TEXT(VLOOKUP(B430,Lookup!A427:B579,2,FALSE)*$E$1/440,"#.0#"),"")</f>
        <v/>
      </c>
      <c r="I430" s="14" t="str">
        <f t="shared" si="6"/>
        <v/>
      </c>
    </row>
    <row r="431" spans="1:9" x14ac:dyDescent="0.25">
      <c r="A431" s="12">
        <f>CEILING(SUM($C$5:$C431)/($A$3/$B$3),1)</f>
        <v>8</v>
      </c>
      <c r="B431" s="6"/>
      <c r="C431" s="7"/>
      <c r="H431" s="13" t="str">
        <f>_xlfn.IFNA(TEXT(VLOOKUP(B431,Lookup!A428:B580,2,FALSE)*$E$1/440,"#.0#"),"")</f>
        <v/>
      </c>
      <c r="I431" s="14" t="str">
        <f t="shared" si="6"/>
        <v/>
      </c>
    </row>
    <row r="432" spans="1:9" x14ac:dyDescent="0.25">
      <c r="A432" s="12">
        <f>CEILING(SUM($C$5:$C432)/($A$3/$B$3),1)</f>
        <v>8</v>
      </c>
      <c r="B432" s="6"/>
      <c r="C432" s="7"/>
      <c r="H432" s="13" t="str">
        <f>_xlfn.IFNA(TEXT(VLOOKUP(B432,Lookup!A429:B581,2,FALSE)*$E$1/440,"#.0#"),"")</f>
        <v/>
      </c>
      <c r="I432" s="14" t="str">
        <f t="shared" si="6"/>
        <v/>
      </c>
    </row>
    <row r="433" spans="1:9" x14ac:dyDescent="0.25">
      <c r="A433" s="12">
        <f>CEILING(SUM($C$5:$C433)/($A$3/$B$3),1)</f>
        <v>8</v>
      </c>
      <c r="B433" s="6"/>
      <c r="C433" s="7"/>
      <c r="H433" s="13" t="str">
        <f>_xlfn.IFNA(TEXT(VLOOKUP(B433,Lookup!A430:B582,2,FALSE)*$E$1/440,"#.0#"),"")</f>
        <v/>
      </c>
      <c r="I433" s="14" t="str">
        <f t="shared" si="6"/>
        <v/>
      </c>
    </row>
    <row r="434" spans="1:9" x14ac:dyDescent="0.25">
      <c r="A434" s="12">
        <f>CEILING(SUM($C$5:$C434)/($A$3/$B$3),1)</f>
        <v>8</v>
      </c>
      <c r="B434" s="6"/>
      <c r="C434" s="7"/>
      <c r="H434" s="13" t="str">
        <f>_xlfn.IFNA(TEXT(VLOOKUP(B434,Lookup!A431:B583,2,FALSE)*$E$1/440,"#.0#"),"")</f>
        <v/>
      </c>
      <c r="I434" s="14" t="str">
        <f t="shared" si="6"/>
        <v/>
      </c>
    </row>
    <row r="435" spans="1:9" x14ac:dyDescent="0.25">
      <c r="A435" s="12">
        <f>CEILING(SUM($C$5:$C435)/($A$3/$B$3),1)</f>
        <v>8</v>
      </c>
      <c r="B435" s="6"/>
      <c r="C435" s="7"/>
      <c r="H435" s="13" t="str">
        <f>_xlfn.IFNA(TEXT(VLOOKUP(B435,Lookup!A432:B584,2,FALSE)*$E$1/440,"#.0#"),"")</f>
        <v/>
      </c>
      <c r="I435" s="14" t="str">
        <f t="shared" si="6"/>
        <v/>
      </c>
    </row>
    <row r="436" spans="1:9" x14ac:dyDescent="0.25">
      <c r="A436" s="12">
        <f>CEILING(SUM($C$5:$C436)/($A$3/$B$3),1)</f>
        <v>8</v>
      </c>
      <c r="B436" s="6"/>
      <c r="C436" s="7"/>
      <c r="H436" s="13" t="str">
        <f>_xlfn.IFNA(TEXT(VLOOKUP(B436,Lookup!A433:B585,2,FALSE)*$E$1/440,"#.0#"),"")</f>
        <v/>
      </c>
      <c r="I436" s="14" t="str">
        <f t="shared" si="6"/>
        <v/>
      </c>
    </row>
    <row r="437" spans="1:9" x14ac:dyDescent="0.25">
      <c r="A437" s="12">
        <f>CEILING(SUM($C$5:$C437)/($A$3/$B$3),1)</f>
        <v>8</v>
      </c>
      <c r="B437" s="6"/>
      <c r="C437" s="7"/>
      <c r="H437" s="13" t="str">
        <f>_xlfn.IFNA(TEXT(VLOOKUP(B437,Lookup!A434:B586,2,FALSE)*$E$1/440,"#.0#"),"")</f>
        <v/>
      </c>
      <c r="I437" s="14" t="str">
        <f t="shared" si="6"/>
        <v/>
      </c>
    </row>
    <row r="438" spans="1:9" x14ac:dyDescent="0.25">
      <c r="A438" s="12">
        <f>CEILING(SUM($C$5:$C438)/($A$3/$B$3),1)</f>
        <v>8</v>
      </c>
      <c r="B438" s="6"/>
      <c r="C438" s="7"/>
      <c r="H438" s="13" t="str">
        <f>_xlfn.IFNA(TEXT(VLOOKUP(B438,Lookup!A435:B587,2,FALSE)*$E$1/440,"#.0#"),"")</f>
        <v/>
      </c>
      <c r="I438" s="14" t="str">
        <f t="shared" si="6"/>
        <v/>
      </c>
    </row>
    <row r="439" spans="1:9" x14ac:dyDescent="0.25">
      <c r="A439" s="12">
        <f>CEILING(SUM($C$5:$C439)/($A$3/$B$3),1)</f>
        <v>8</v>
      </c>
      <c r="B439" s="6"/>
      <c r="C439" s="7"/>
      <c r="H439" s="13" t="str">
        <f>_xlfn.IFNA(TEXT(VLOOKUP(B439,Lookup!A436:B588,2,FALSE)*$E$1/440,"#.0#"),"")</f>
        <v/>
      </c>
      <c r="I439" s="14" t="str">
        <f t="shared" si="6"/>
        <v/>
      </c>
    </row>
    <row r="440" spans="1:9" x14ac:dyDescent="0.25">
      <c r="A440" s="12">
        <f>CEILING(SUM($C$5:$C440)/($A$3/$B$3),1)</f>
        <v>8</v>
      </c>
      <c r="B440" s="6"/>
      <c r="C440" s="7"/>
      <c r="H440" s="13" t="str">
        <f>_xlfn.IFNA(TEXT(VLOOKUP(B440,Lookup!A437:B589,2,FALSE)*$E$1/440,"#.0#"),"")</f>
        <v/>
      </c>
      <c r="I440" s="14" t="str">
        <f t="shared" si="6"/>
        <v/>
      </c>
    </row>
    <row r="441" spans="1:9" x14ac:dyDescent="0.25">
      <c r="A441" s="12">
        <f>CEILING(SUM($C$5:$C441)/($A$3/$B$3),1)</f>
        <v>8</v>
      </c>
      <c r="B441" s="6"/>
      <c r="C441" s="7"/>
      <c r="H441" s="13" t="str">
        <f>_xlfn.IFNA(TEXT(VLOOKUP(B441,Lookup!A438:B590,2,FALSE)*$E$1/440,"#.0#"),"")</f>
        <v/>
      </c>
      <c r="I441" s="14" t="str">
        <f t="shared" si="6"/>
        <v/>
      </c>
    </row>
    <row r="442" spans="1:9" x14ac:dyDescent="0.25">
      <c r="A442" s="12">
        <f>CEILING(SUM($C$5:$C442)/($A$3/$B$3),1)</f>
        <v>8</v>
      </c>
      <c r="B442" s="6"/>
      <c r="C442" s="7"/>
      <c r="H442" s="13" t="str">
        <f>_xlfn.IFNA(TEXT(VLOOKUP(B442,Lookup!A439:B591,2,FALSE)*$E$1/440,"#.0#"),"")</f>
        <v/>
      </c>
      <c r="I442" s="14" t="str">
        <f t="shared" si="6"/>
        <v/>
      </c>
    </row>
    <row r="443" spans="1:9" x14ac:dyDescent="0.25">
      <c r="A443" s="12">
        <f>CEILING(SUM($C$5:$C443)/($A$3/$B$3),1)</f>
        <v>8</v>
      </c>
      <c r="B443" s="6"/>
      <c r="C443" s="7"/>
      <c r="H443" s="13" t="str">
        <f>_xlfn.IFNA(TEXT(VLOOKUP(B443,Lookup!A440:B592,2,FALSE)*$E$1/440,"#.0#"),"")</f>
        <v/>
      </c>
      <c r="I443" s="14" t="str">
        <f t="shared" si="6"/>
        <v/>
      </c>
    </row>
    <row r="444" spans="1:9" x14ac:dyDescent="0.25">
      <c r="A444" s="12">
        <f>CEILING(SUM($C$5:$C444)/($A$3/$B$3),1)</f>
        <v>8</v>
      </c>
      <c r="B444" s="6"/>
      <c r="C444" s="7"/>
      <c r="H444" s="13" t="str">
        <f>_xlfn.IFNA(TEXT(VLOOKUP(B444,Lookup!A441:B593,2,FALSE)*$E$1/440,"#.0#"),"")</f>
        <v/>
      </c>
      <c r="I444" s="14" t="str">
        <f t="shared" si="6"/>
        <v/>
      </c>
    </row>
    <row r="445" spans="1:9" x14ac:dyDescent="0.25">
      <c r="A445" s="12">
        <f>CEILING(SUM($C$5:$C445)/($A$3/$B$3),1)</f>
        <v>8</v>
      </c>
      <c r="B445" s="6"/>
      <c r="C445" s="7"/>
      <c r="H445" s="13" t="str">
        <f>_xlfn.IFNA(TEXT(VLOOKUP(B445,Lookup!A442:B594,2,FALSE)*$E$1/440,"#.0#"),"")</f>
        <v/>
      </c>
      <c r="I445" s="14" t="str">
        <f t="shared" si="6"/>
        <v/>
      </c>
    </row>
    <row r="446" spans="1:9" x14ac:dyDescent="0.25">
      <c r="A446" s="12">
        <f>CEILING(SUM($C$5:$C446)/($A$3/$B$3),1)</f>
        <v>8</v>
      </c>
      <c r="B446" s="6"/>
      <c r="C446" s="7"/>
      <c r="H446" s="13" t="str">
        <f>_xlfn.IFNA(TEXT(VLOOKUP(B446,Lookup!A443:B595,2,FALSE)*$E$1/440,"#.0#"),"")</f>
        <v/>
      </c>
      <c r="I446" s="14" t="str">
        <f t="shared" si="6"/>
        <v/>
      </c>
    </row>
    <row r="447" spans="1:9" x14ac:dyDescent="0.25">
      <c r="A447" s="12">
        <f>CEILING(SUM($C$5:$C447)/($A$3/$B$3),1)</f>
        <v>8</v>
      </c>
      <c r="B447" s="6"/>
      <c r="C447" s="7"/>
      <c r="H447" s="13" t="str">
        <f>_xlfn.IFNA(TEXT(VLOOKUP(B447,Lookup!A444:B596,2,FALSE)*$E$1/440,"#.0#"),"")</f>
        <v/>
      </c>
      <c r="I447" s="14" t="str">
        <f t="shared" si="6"/>
        <v/>
      </c>
    </row>
    <row r="448" spans="1:9" x14ac:dyDescent="0.25">
      <c r="A448" s="12">
        <f>CEILING(SUM($C$5:$C448)/($A$3/$B$3),1)</f>
        <v>8</v>
      </c>
      <c r="B448" s="6"/>
      <c r="C448" s="7"/>
      <c r="H448" s="13" t="str">
        <f>_xlfn.IFNA(TEXT(VLOOKUP(B448,Lookup!A445:B597,2,FALSE)*$E$1/440,"#.0#"),"")</f>
        <v/>
      </c>
      <c r="I448" s="14" t="str">
        <f t="shared" si="6"/>
        <v/>
      </c>
    </row>
    <row r="449" spans="1:9" x14ac:dyDescent="0.25">
      <c r="A449" s="12">
        <f>CEILING(SUM($C$5:$C449)/($A$3/$B$3),1)</f>
        <v>8</v>
      </c>
      <c r="B449" s="6"/>
      <c r="C449" s="7"/>
      <c r="H449" s="13" t="str">
        <f>_xlfn.IFNA(TEXT(VLOOKUP(B449,Lookup!A446:B598,2,FALSE)*$E$1/440,"#.0#"),"")</f>
        <v/>
      </c>
      <c r="I449" s="14" t="str">
        <f t="shared" si="6"/>
        <v/>
      </c>
    </row>
    <row r="450" spans="1:9" x14ac:dyDescent="0.25">
      <c r="A450" s="12">
        <f>CEILING(SUM($C$5:$C450)/($A$3/$B$3),1)</f>
        <v>8</v>
      </c>
      <c r="B450" s="6"/>
      <c r="C450" s="7"/>
      <c r="H450" s="13" t="str">
        <f>_xlfn.IFNA(TEXT(VLOOKUP(B450,Lookup!A447:B599,2,FALSE)*$E$1/440,"#.0#"),"")</f>
        <v/>
      </c>
      <c r="I450" s="14" t="str">
        <f t="shared" si="6"/>
        <v/>
      </c>
    </row>
    <row r="451" spans="1:9" x14ac:dyDescent="0.25">
      <c r="A451" s="12">
        <f>CEILING(SUM($C$5:$C451)/($A$3/$B$3),1)</f>
        <v>8</v>
      </c>
      <c r="B451" s="6"/>
      <c r="C451" s="7"/>
      <c r="H451" s="13" t="str">
        <f>_xlfn.IFNA(TEXT(VLOOKUP(B451,Lookup!A448:B600,2,FALSE)*$E$1/440,"#.0#"),"")</f>
        <v/>
      </c>
      <c r="I451" s="14" t="str">
        <f t="shared" si="6"/>
        <v/>
      </c>
    </row>
    <row r="452" spans="1:9" x14ac:dyDescent="0.25">
      <c r="A452" s="12">
        <f>CEILING(SUM($C$5:$C452)/($A$3/$B$3),1)</f>
        <v>8</v>
      </c>
      <c r="B452" s="6"/>
      <c r="C452" s="7"/>
      <c r="H452" s="13" t="str">
        <f>_xlfn.IFNA(TEXT(VLOOKUP(B452,Lookup!A449:B601,2,FALSE)*$E$1/440,"#.0#"),"")</f>
        <v/>
      </c>
      <c r="I452" s="14" t="str">
        <f t="shared" si="6"/>
        <v/>
      </c>
    </row>
    <row r="453" spans="1:9" x14ac:dyDescent="0.25">
      <c r="A453" s="12">
        <f>CEILING(SUM($C$5:$C453)/($A$3/$B$3),1)</f>
        <v>8</v>
      </c>
      <c r="B453" s="6"/>
      <c r="C453" s="7"/>
      <c r="H453" s="13" t="str">
        <f>_xlfn.IFNA(TEXT(VLOOKUP(B453,Lookup!A450:B602,2,FALSE)*$E$1/440,"#.0#"),"")</f>
        <v/>
      </c>
      <c r="I453" s="14" t="str">
        <f t="shared" si="6"/>
        <v/>
      </c>
    </row>
    <row r="454" spans="1:9" x14ac:dyDescent="0.25">
      <c r="A454" s="12">
        <f>CEILING(SUM($C$5:$C454)/($A$3/$B$3),1)</f>
        <v>8</v>
      </c>
      <c r="B454" s="6"/>
      <c r="C454" s="7"/>
      <c r="H454" s="13" t="str">
        <f>_xlfn.IFNA(TEXT(VLOOKUP(B454,Lookup!A451:B603,2,FALSE)*$E$1/440,"#.0#"),"")</f>
        <v/>
      </c>
      <c r="I454" s="14" t="str">
        <f t="shared" ref="I454:I504" si="7">IF(C454&gt;0,TEXT((60000*$C454*$B$3)/($H$1),"#"),"")</f>
        <v/>
      </c>
    </row>
    <row r="455" spans="1:9" x14ac:dyDescent="0.25">
      <c r="A455" s="12">
        <f>CEILING(SUM($C$5:$C455)/($A$3/$B$3),1)</f>
        <v>8</v>
      </c>
      <c r="B455" s="6"/>
      <c r="C455" s="7"/>
      <c r="H455" s="13" t="str">
        <f>_xlfn.IFNA(TEXT(VLOOKUP(B455,Lookup!A452:B604,2,FALSE)*$E$1/440,"#.0#"),"")</f>
        <v/>
      </c>
      <c r="I455" s="14" t="str">
        <f t="shared" si="7"/>
        <v/>
      </c>
    </row>
    <row r="456" spans="1:9" x14ac:dyDescent="0.25">
      <c r="A456" s="12">
        <f>CEILING(SUM($C$5:$C456)/($A$3/$B$3),1)</f>
        <v>8</v>
      </c>
      <c r="B456" s="6"/>
      <c r="C456" s="7"/>
      <c r="H456" s="13" t="str">
        <f>_xlfn.IFNA(TEXT(VLOOKUP(B456,Lookup!A453:B605,2,FALSE)*$E$1/440,"#.0#"),"")</f>
        <v/>
      </c>
      <c r="I456" s="14" t="str">
        <f t="shared" si="7"/>
        <v/>
      </c>
    </row>
    <row r="457" spans="1:9" x14ac:dyDescent="0.25">
      <c r="A457" s="12">
        <f>CEILING(SUM($C$5:$C457)/($A$3/$B$3),1)</f>
        <v>8</v>
      </c>
      <c r="B457" s="6"/>
      <c r="C457" s="7"/>
      <c r="H457" s="13" t="str">
        <f>_xlfn.IFNA(TEXT(VLOOKUP(B457,Lookup!A454:B606,2,FALSE)*$E$1/440,"#.0#"),"")</f>
        <v/>
      </c>
      <c r="I457" s="14" t="str">
        <f t="shared" si="7"/>
        <v/>
      </c>
    </row>
    <row r="458" spans="1:9" x14ac:dyDescent="0.25">
      <c r="A458" s="12">
        <f>CEILING(SUM($C$5:$C458)/($A$3/$B$3),1)</f>
        <v>8</v>
      </c>
      <c r="B458" s="6"/>
      <c r="C458" s="7"/>
      <c r="H458" s="13" t="str">
        <f>_xlfn.IFNA(TEXT(VLOOKUP(B458,Lookup!A455:B607,2,FALSE)*$E$1/440,"#.0#"),"")</f>
        <v/>
      </c>
      <c r="I458" s="14" t="str">
        <f t="shared" si="7"/>
        <v/>
      </c>
    </row>
    <row r="459" spans="1:9" x14ac:dyDescent="0.25">
      <c r="A459" s="12">
        <f>CEILING(SUM($C$5:$C459)/($A$3/$B$3),1)</f>
        <v>8</v>
      </c>
      <c r="B459" s="6"/>
      <c r="C459" s="7"/>
      <c r="H459" s="13" t="str">
        <f>_xlfn.IFNA(TEXT(VLOOKUP(B459,Lookup!A456:B608,2,FALSE)*$E$1/440,"#.0#"),"")</f>
        <v/>
      </c>
      <c r="I459" s="14" t="str">
        <f t="shared" si="7"/>
        <v/>
      </c>
    </row>
    <row r="460" spans="1:9" x14ac:dyDescent="0.25">
      <c r="A460" s="12">
        <f>CEILING(SUM($C$5:$C460)/($A$3/$B$3),1)</f>
        <v>8</v>
      </c>
      <c r="B460" s="6"/>
      <c r="C460" s="7"/>
      <c r="H460" s="13" t="str">
        <f>_xlfn.IFNA(TEXT(VLOOKUP(B460,Lookup!A457:B609,2,FALSE)*$E$1/440,"#.0#"),"")</f>
        <v/>
      </c>
      <c r="I460" s="14" t="str">
        <f t="shared" si="7"/>
        <v/>
      </c>
    </row>
    <row r="461" spans="1:9" x14ac:dyDescent="0.25">
      <c r="A461" s="12">
        <f>CEILING(SUM($C$5:$C461)/($A$3/$B$3),1)</f>
        <v>8</v>
      </c>
      <c r="B461" s="6"/>
      <c r="C461" s="7"/>
      <c r="H461" s="13" t="str">
        <f>_xlfn.IFNA(TEXT(VLOOKUP(B461,Lookup!A458:B610,2,FALSE)*$E$1/440,"#.0#"),"")</f>
        <v/>
      </c>
      <c r="I461" s="14" t="str">
        <f t="shared" si="7"/>
        <v/>
      </c>
    </row>
    <row r="462" spans="1:9" x14ac:dyDescent="0.25">
      <c r="A462" s="12">
        <f>CEILING(SUM($C$5:$C462)/($A$3/$B$3),1)</f>
        <v>8</v>
      </c>
      <c r="B462" s="6"/>
      <c r="C462" s="7"/>
      <c r="H462" s="13" t="str">
        <f>_xlfn.IFNA(TEXT(VLOOKUP(B462,Lookup!A459:B611,2,FALSE)*$E$1/440,"#.0#"),"")</f>
        <v/>
      </c>
      <c r="I462" s="14" t="str">
        <f t="shared" si="7"/>
        <v/>
      </c>
    </row>
    <row r="463" spans="1:9" x14ac:dyDescent="0.25">
      <c r="A463" s="12">
        <f>CEILING(SUM($C$5:$C463)/($A$3/$B$3),1)</f>
        <v>8</v>
      </c>
      <c r="B463" s="6"/>
      <c r="C463" s="7"/>
      <c r="H463" s="13" t="str">
        <f>_xlfn.IFNA(TEXT(VLOOKUP(B463,Lookup!A460:B612,2,FALSE)*$E$1/440,"#.0#"),"")</f>
        <v/>
      </c>
      <c r="I463" s="14" t="str">
        <f t="shared" si="7"/>
        <v/>
      </c>
    </row>
    <row r="464" spans="1:9" x14ac:dyDescent="0.25">
      <c r="A464" s="12">
        <f>CEILING(SUM($C$5:$C464)/($A$3/$B$3),1)</f>
        <v>8</v>
      </c>
      <c r="B464" s="6"/>
      <c r="C464" s="7"/>
      <c r="H464" s="13" t="str">
        <f>_xlfn.IFNA(TEXT(VLOOKUP(B464,Lookup!A461:B613,2,FALSE)*$E$1/440,"#.0#"),"")</f>
        <v/>
      </c>
      <c r="I464" s="14" t="str">
        <f t="shared" si="7"/>
        <v/>
      </c>
    </row>
    <row r="465" spans="1:9" x14ac:dyDescent="0.25">
      <c r="A465" s="12">
        <f>CEILING(SUM($C$5:$C465)/($A$3/$B$3),1)</f>
        <v>8</v>
      </c>
      <c r="B465" s="6"/>
      <c r="C465" s="7"/>
      <c r="H465" s="13" t="str">
        <f>_xlfn.IFNA(TEXT(VLOOKUP(B465,Lookup!A462:B614,2,FALSE)*$E$1/440,"#.0#"),"")</f>
        <v/>
      </c>
      <c r="I465" s="14" t="str">
        <f t="shared" si="7"/>
        <v/>
      </c>
    </row>
    <row r="466" spans="1:9" x14ac:dyDescent="0.25">
      <c r="A466" s="12">
        <f>CEILING(SUM($C$5:$C466)/($A$3/$B$3),1)</f>
        <v>8</v>
      </c>
      <c r="B466" s="6"/>
      <c r="C466" s="7"/>
      <c r="H466" s="13" t="str">
        <f>_xlfn.IFNA(TEXT(VLOOKUP(B466,Lookup!A463:B615,2,FALSE)*$E$1/440,"#.0#"),"")</f>
        <v/>
      </c>
      <c r="I466" s="14" t="str">
        <f t="shared" si="7"/>
        <v/>
      </c>
    </row>
    <row r="467" spans="1:9" x14ac:dyDescent="0.25">
      <c r="A467" s="12">
        <f>CEILING(SUM($C$5:$C467)/($A$3/$B$3),1)</f>
        <v>8</v>
      </c>
      <c r="B467" s="6"/>
      <c r="C467" s="7"/>
      <c r="H467" s="13" t="str">
        <f>_xlfn.IFNA(TEXT(VLOOKUP(B467,Lookup!A464:B616,2,FALSE)*$E$1/440,"#.0#"),"")</f>
        <v/>
      </c>
      <c r="I467" s="14" t="str">
        <f t="shared" si="7"/>
        <v/>
      </c>
    </row>
    <row r="468" spans="1:9" x14ac:dyDescent="0.25">
      <c r="A468" s="12">
        <f>CEILING(SUM($C$5:$C468)/($A$3/$B$3),1)</f>
        <v>8</v>
      </c>
      <c r="B468" s="6"/>
      <c r="C468" s="7"/>
      <c r="H468" s="13" t="str">
        <f>_xlfn.IFNA(TEXT(VLOOKUP(B468,Lookup!A465:B617,2,FALSE)*$E$1/440,"#.0#"),"")</f>
        <v/>
      </c>
      <c r="I468" s="14" t="str">
        <f t="shared" si="7"/>
        <v/>
      </c>
    </row>
    <row r="469" spans="1:9" x14ac:dyDescent="0.25">
      <c r="A469" s="12">
        <f>CEILING(SUM($C$5:$C469)/($A$3/$B$3),1)</f>
        <v>8</v>
      </c>
      <c r="B469" s="6"/>
      <c r="C469" s="7"/>
      <c r="H469" s="13" t="str">
        <f>_xlfn.IFNA(TEXT(VLOOKUP(B469,Lookup!A466:B618,2,FALSE)*$E$1/440,"#.0#"),"")</f>
        <v/>
      </c>
      <c r="I469" s="14" t="str">
        <f t="shared" si="7"/>
        <v/>
      </c>
    </row>
    <row r="470" spans="1:9" x14ac:dyDescent="0.25">
      <c r="A470" s="12">
        <f>CEILING(SUM($C$5:$C470)/($A$3/$B$3),1)</f>
        <v>8</v>
      </c>
      <c r="B470" s="6"/>
      <c r="C470" s="7"/>
      <c r="H470" s="13" t="str">
        <f>_xlfn.IFNA(TEXT(VLOOKUP(B470,Lookup!A467:B619,2,FALSE)*$E$1/440,"#.0#"),"")</f>
        <v/>
      </c>
      <c r="I470" s="14" t="str">
        <f t="shared" si="7"/>
        <v/>
      </c>
    </row>
    <row r="471" spans="1:9" x14ac:dyDescent="0.25">
      <c r="A471" s="12">
        <f>CEILING(SUM($C$5:$C471)/($A$3/$B$3),1)</f>
        <v>8</v>
      </c>
      <c r="B471" s="6"/>
      <c r="C471" s="7"/>
      <c r="H471" s="13" t="str">
        <f>_xlfn.IFNA(TEXT(VLOOKUP(B471,Lookup!A468:B620,2,FALSE)*$E$1/440,"#.0#"),"")</f>
        <v/>
      </c>
      <c r="I471" s="14" t="str">
        <f t="shared" si="7"/>
        <v/>
      </c>
    </row>
    <row r="472" spans="1:9" x14ac:dyDescent="0.25">
      <c r="A472" s="12">
        <f>CEILING(SUM($C$5:$C472)/($A$3/$B$3),1)</f>
        <v>8</v>
      </c>
      <c r="B472" s="6"/>
      <c r="C472" s="7"/>
      <c r="H472" s="13" t="str">
        <f>_xlfn.IFNA(TEXT(VLOOKUP(B472,Lookup!A469:B621,2,FALSE)*$E$1/440,"#.0#"),"")</f>
        <v/>
      </c>
      <c r="I472" s="14" t="str">
        <f t="shared" si="7"/>
        <v/>
      </c>
    </row>
    <row r="473" spans="1:9" x14ac:dyDescent="0.25">
      <c r="A473" s="12">
        <f>CEILING(SUM($C$5:$C473)/($A$3/$B$3),1)</f>
        <v>8</v>
      </c>
      <c r="B473" s="6"/>
      <c r="C473" s="7"/>
      <c r="H473" s="13" t="str">
        <f>_xlfn.IFNA(TEXT(VLOOKUP(B473,Lookup!A470:B622,2,FALSE)*$E$1/440,"#.0#"),"")</f>
        <v/>
      </c>
      <c r="I473" s="14" t="str">
        <f t="shared" si="7"/>
        <v/>
      </c>
    </row>
    <row r="474" spans="1:9" x14ac:dyDescent="0.25">
      <c r="A474" s="12">
        <f>CEILING(SUM($C$5:$C474)/($A$3/$B$3),1)</f>
        <v>8</v>
      </c>
      <c r="B474" s="6"/>
      <c r="C474" s="7"/>
      <c r="H474" s="13" t="str">
        <f>_xlfn.IFNA(TEXT(VLOOKUP(B474,Lookup!A471:B623,2,FALSE)*$E$1/440,"#.0#"),"")</f>
        <v/>
      </c>
      <c r="I474" s="14" t="str">
        <f t="shared" si="7"/>
        <v/>
      </c>
    </row>
    <row r="475" spans="1:9" x14ac:dyDescent="0.25">
      <c r="A475" s="12">
        <f>CEILING(SUM($C$5:$C475)/($A$3/$B$3),1)</f>
        <v>8</v>
      </c>
      <c r="B475" s="6"/>
      <c r="C475" s="7"/>
      <c r="H475" s="13" t="str">
        <f>_xlfn.IFNA(TEXT(VLOOKUP(B475,Lookup!A472:B624,2,FALSE)*$E$1/440,"#.0#"),"")</f>
        <v/>
      </c>
      <c r="I475" s="14" t="str">
        <f t="shared" si="7"/>
        <v/>
      </c>
    </row>
    <row r="476" spans="1:9" x14ac:dyDescent="0.25">
      <c r="A476" s="12">
        <f>CEILING(SUM($C$5:$C476)/($A$3/$B$3),1)</f>
        <v>8</v>
      </c>
      <c r="B476" s="6"/>
      <c r="C476" s="7"/>
      <c r="H476" s="13" t="str">
        <f>_xlfn.IFNA(TEXT(VLOOKUP(B476,Lookup!A473:B625,2,FALSE)*$E$1/440,"#.0#"),"")</f>
        <v/>
      </c>
      <c r="I476" s="14" t="str">
        <f t="shared" si="7"/>
        <v/>
      </c>
    </row>
    <row r="477" spans="1:9" x14ac:dyDescent="0.25">
      <c r="A477" s="12">
        <f>CEILING(SUM($C$5:$C477)/($A$3/$B$3),1)</f>
        <v>8</v>
      </c>
      <c r="B477" s="6"/>
      <c r="C477" s="7"/>
      <c r="H477" s="13" t="str">
        <f>_xlfn.IFNA(TEXT(VLOOKUP(B477,Lookup!A474:B626,2,FALSE)*$E$1/440,"#.0#"),"")</f>
        <v/>
      </c>
      <c r="I477" s="14" t="str">
        <f t="shared" si="7"/>
        <v/>
      </c>
    </row>
    <row r="478" spans="1:9" x14ac:dyDescent="0.25">
      <c r="A478" s="12">
        <f>CEILING(SUM($C$5:$C478)/($A$3/$B$3),1)</f>
        <v>8</v>
      </c>
      <c r="B478" s="6"/>
      <c r="C478" s="7"/>
      <c r="H478" s="13" t="str">
        <f>_xlfn.IFNA(TEXT(VLOOKUP(B478,Lookup!A475:B627,2,FALSE)*$E$1/440,"#.0#"),"")</f>
        <v/>
      </c>
      <c r="I478" s="14" t="str">
        <f t="shared" si="7"/>
        <v/>
      </c>
    </row>
    <row r="479" spans="1:9" x14ac:dyDescent="0.25">
      <c r="A479" s="12">
        <f>CEILING(SUM($C$5:$C479)/($A$3/$B$3),1)</f>
        <v>8</v>
      </c>
      <c r="B479" s="6"/>
      <c r="C479" s="7"/>
      <c r="H479" s="13" t="str">
        <f>_xlfn.IFNA(TEXT(VLOOKUP(B479,Lookup!A476:B628,2,FALSE)*$E$1/440,"#.0#"),"")</f>
        <v/>
      </c>
      <c r="I479" s="14" t="str">
        <f t="shared" si="7"/>
        <v/>
      </c>
    </row>
    <row r="480" spans="1:9" x14ac:dyDescent="0.25">
      <c r="A480" s="12">
        <f>CEILING(SUM($C$5:$C480)/($A$3/$B$3),1)</f>
        <v>8</v>
      </c>
      <c r="B480" s="6"/>
      <c r="C480" s="7"/>
      <c r="H480" s="13" t="str">
        <f>_xlfn.IFNA(TEXT(VLOOKUP(B480,Lookup!A477:B629,2,FALSE)*$E$1/440,"#.0#"),"")</f>
        <v/>
      </c>
      <c r="I480" s="14" t="str">
        <f t="shared" si="7"/>
        <v/>
      </c>
    </row>
    <row r="481" spans="1:9" x14ac:dyDescent="0.25">
      <c r="A481" s="12">
        <f>CEILING(SUM($C$5:$C481)/($A$3/$B$3),1)</f>
        <v>8</v>
      </c>
      <c r="B481" s="6"/>
      <c r="C481" s="7"/>
      <c r="H481" s="13" t="str">
        <f>_xlfn.IFNA(TEXT(VLOOKUP(B481,Lookup!A478:B630,2,FALSE)*$E$1/440,"#.0#"),"")</f>
        <v/>
      </c>
      <c r="I481" s="14" t="str">
        <f t="shared" si="7"/>
        <v/>
      </c>
    </row>
    <row r="482" spans="1:9" x14ac:dyDescent="0.25">
      <c r="A482" s="12">
        <f>CEILING(SUM($C$5:$C482)/($A$3/$B$3),1)</f>
        <v>8</v>
      </c>
      <c r="B482" s="6"/>
      <c r="C482" s="7"/>
      <c r="H482" s="13" t="str">
        <f>_xlfn.IFNA(TEXT(VLOOKUP(B482,Lookup!A479:B631,2,FALSE)*$E$1/440,"#.0#"),"")</f>
        <v/>
      </c>
      <c r="I482" s="14" t="str">
        <f t="shared" si="7"/>
        <v/>
      </c>
    </row>
    <row r="483" spans="1:9" x14ac:dyDescent="0.25">
      <c r="A483" s="12">
        <f>CEILING(SUM($C$5:$C483)/($A$3/$B$3),1)</f>
        <v>8</v>
      </c>
      <c r="B483" s="6"/>
      <c r="C483" s="7"/>
      <c r="H483" s="13" t="str">
        <f>_xlfn.IFNA(TEXT(VLOOKUP(B483,Lookup!A480:B632,2,FALSE)*$E$1/440,"#.0#"),"")</f>
        <v/>
      </c>
      <c r="I483" s="14" t="str">
        <f t="shared" si="7"/>
        <v/>
      </c>
    </row>
    <row r="484" spans="1:9" x14ac:dyDescent="0.25">
      <c r="A484" s="12">
        <f>CEILING(SUM($C$5:$C484)/($A$3/$B$3),1)</f>
        <v>8</v>
      </c>
      <c r="B484" s="6"/>
      <c r="C484" s="7"/>
      <c r="H484" s="13" t="str">
        <f>_xlfn.IFNA(TEXT(VLOOKUP(B484,Lookup!A481:B633,2,FALSE)*$E$1/440,"#.0#"),"")</f>
        <v/>
      </c>
      <c r="I484" s="14" t="str">
        <f t="shared" si="7"/>
        <v/>
      </c>
    </row>
    <row r="485" spans="1:9" x14ac:dyDescent="0.25">
      <c r="A485" s="12">
        <f>CEILING(SUM($C$5:$C485)/($A$3/$B$3),1)</f>
        <v>8</v>
      </c>
      <c r="B485" s="6"/>
      <c r="C485" s="7"/>
      <c r="H485" s="13" t="str">
        <f>_xlfn.IFNA(TEXT(VLOOKUP(B485,Lookup!A482:B634,2,FALSE)*$E$1/440,"#.0#"),"")</f>
        <v/>
      </c>
      <c r="I485" s="14" t="str">
        <f t="shared" si="7"/>
        <v/>
      </c>
    </row>
    <row r="486" spans="1:9" x14ac:dyDescent="0.25">
      <c r="A486" s="12">
        <f>CEILING(SUM($C$5:$C486)/($A$3/$B$3),1)</f>
        <v>8</v>
      </c>
      <c r="B486" s="6"/>
      <c r="C486" s="7"/>
      <c r="H486" s="13" t="str">
        <f>_xlfn.IFNA(TEXT(VLOOKUP(B486,Lookup!A483:B635,2,FALSE)*$E$1/440,"#.0#"),"")</f>
        <v/>
      </c>
      <c r="I486" s="14" t="str">
        <f t="shared" si="7"/>
        <v/>
      </c>
    </row>
    <row r="487" spans="1:9" x14ac:dyDescent="0.25">
      <c r="A487" s="12">
        <f>CEILING(SUM($C$5:$C487)/($A$3/$B$3),1)</f>
        <v>8</v>
      </c>
      <c r="B487" s="6"/>
      <c r="C487" s="7"/>
      <c r="H487" s="13" t="str">
        <f>_xlfn.IFNA(TEXT(VLOOKUP(B487,Lookup!A484:B636,2,FALSE)*$E$1/440,"#.0#"),"")</f>
        <v/>
      </c>
      <c r="I487" s="14" t="str">
        <f t="shared" si="7"/>
        <v/>
      </c>
    </row>
    <row r="488" spans="1:9" x14ac:dyDescent="0.25">
      <c r="A488" s="12">
        <f>CEILING(SUM($C$5:$C488)/($A$3/$B$3),1)</f>
        <v>8</v>
      </c>
      <c r="B488" s="6"/>
      <c r="C488" s="7"/>
      <c r="H488" s="13" t="str">
        <f>_xlfn.IFNA(TEXT(VLOOKUP(B488,Lookup!A485:B637,2,FALSE)*$E$1/440,"#.0#"),"")</f>
        <v/>
      </c>
      <c r="I488" s="14" t="str">
        <f t="shared" si="7"/>
        <v/>
      </c>
    </row>
    <row r="489" spans="1:9" x14ac:dyDescent="0.25">
      <c r="A489" s="12">
        <f>CEILING(SUM($C$5:$C489)/($A$3/$B$3),1)</f>
        <v>8</v>
      </c>
      <c r="B489" s="6"/>
      <c r="C489" s="7"/>
      <c r="H489" s="13" t="str">
        <f>_xlfn.IFNA(TEXT(VLOOKUP(B489,Lookup!A486:B638,2,FALSE)*$E$1/440,"#.0#"),"")</f>
        <v/>
      </c>
      <c r="I489" s="14" t="str">
        <f t="shared" si="7"/>
        <v/>
      </c>
    </row>
    <row r="490" spans="1:9" x14ac:dyDescent="0.25">
      <c r="A490" s="12">
        <f>CEILING(SUM($C$5:$C490)/($A$3/$B$3),1)</f>
        <v>8</v>
      </c>
      <c r="B490" s="6"/>
      <c r="C490" s="7"/>
      <c r="H490" s="13" t="str">
        <f>_xlfn.IFNA(TEXT(VLOOKUP(B490,Lookup!A487:B639,2,FALSE)*$E$1/440,"#.0#"),"")</f>
        <v/>
      </c>
      <c r="I490" s="14" t="str">
        <f t="shared" si="7"/>
        <v/>
      </c>
    </row>
    <row r="491" spans="1:9" x14ac:dyDescent="0.25">
      <c r="A491" s="12">
        <f>CEILING(SUM($C$5:$C491)/($A$3/$B$3),1)</f>
        <v>8</v>
      </c>
      <c r="B491" s="6"/>
      <c r="C491" s="7"/>
      <c r="H491" s="13" t="str">
        <f>_xlfn.IFNA(TEXT(VLOOKUP(B491,Lookup!A488:B640,2,FALSE)*$E$1/440,"#.0#"),"")</f>
        <v/>
      </c>
      <c r="I491" s="14" t="str">
        <f t="shared" si="7"/>
        <v/>
      </c>
    </row>
    <row r="492" spans="1:9" x14ac:dyDescent="0.25">
      <c r="A492" s="12">
        <f>CEILING(SUM($C$5:$C492)/($A$3/$B$3),1)</f>
        <v>8</v>
      </c>
      <c r="B492" s="6"/>
      <c r="C492" s="7"/>
      <c r="H492" s="13" t="str">
        <f>_xlfn.IFNA(TEXT(VLOOKUP(B492,Lookup!A489:B641,2,FALSE)*$E$1/440,"#.0#"),"")</f>
        <v/>
      </c>
      <c r="I492" s="14" t="str">
        <f t="shared" si="7"/>
        <v/>
      </c>
    </row>
    <row r="493" spans="1:9" x14ac:dyDescent="0.25">
      <c r="A493" s="12">
        <f>CEILING(SUM($C$5:$C493)/($A$3/$B$3),1)</f>
        <v>8</v>
      </c>
      <c r="B493" s="6"/>
      <c r="C493" s="7"/>
      <c r="H493" s="13" t="str">
        <f>_xlfn.IFNA(TEXT(VLOOKUP(B493,Lookup!A490:B642,2,FALSE)*$E$1/440,"#.0#"),"")</f>
        <v/>
      </c>
      <c r="I493" s="14" t="str">
        <f t="shared" si="7"/>
        <v/>
      </c>
    </row>
    <row r="494" spans="1:9" x14ac:dyDescent="0.25">
      <c r="A494" s="12">
        <f>CEILING(SUM($C$5:$C494)/($A$3/$B$3),1)</f>
        <v>8</v>
      </c>
      <c r="B494" s="6"/>
      <c r="C494" s="7"/>
      <c r="H494" s="13" t="str">
        <f>_xlfn.IFNA(TEXT(VLOOKUP(B494,Lookup!A491:B643,2,FALSE)*$E$1/440,"#.0#"),"")</f>
        <v/>
      </c>
      <c r="I494" s="14" t="str">
        <f t="shared" si="7"/>
        <v/>
      </c>
    </row>
    <row r="495" spans="1:9" x14ac:dyDescent="0.25">
      <c r="A495" s="12">
        <f>CEILING(SUM($C$5:$C495)/($A$3/$B$3),1)</f>
        <v>8</v>
      </c>
      <c r="B495" s="6"/>
      <c r="C495" s="7"/>
      <c r="H495" s="13" t="str">
        <f>_xlfn.IFNA(TEXT(VLOOKUP(B495,Lookup!A492:B644,2,FALSE)*$E$1/440,"#.0#"),"")</f>
        <v/>
      </c>
      <c r="I495" s="14" t="str">
        <f t="shared" si="7"/>
        <v/>
      </c>
    </row>
    <row r="496" spans="1:9" x14ac:dyDescent="0.25">
      <c r="A496" s="12">
        <f>CEILING(SUM($C$5:$C496)/($A$3/$B$3),1)</f>
        <v>8</v>
      </c>
      <c r="B496" s="6"/>
      <c r="C496" s="7"/>
      <c r="H496" s="13" t="str">
        <f>_xlfn.IFNA(TEXT(VLOOKUP(B496,Lookup!A493:B645,2,FALSE)*$E$1/440,"#.0#"),"")</f>
        <v/>
      </c>
      <c r="I496" s="14" t="str">
        <f t="shared" si="7"/>
        <v/>
      </c>
    </row>
    <row r="497" spans="1:9" x14ac:dyDescent="0.25">
      <c r="A497" s="12">
        <f>CEILING(SUM($C$5:$C497)/($A$3/$B$3),1)</f>
        <v>8</v>
      </c>
      <c r="B497" s="6"/>
      <c r="C497" s="7"/>
      <c r="H497" s="13" t="str">
        <f>_xlfn.IFNA(TEXT(VLOOKUP(B497,Lookup!A494:B646,2,FALSE)*$E$1/440,"#.0#"),"")</f>
        <v/>
      </c>
      <c r="I497" s="14" t="str">
        <f t="shared" si="7"/>
        <v/>
      </c>
    </row>
    <row r="498" spans="1:9" x14ac:dyDescent="0.25">
      <c r="A498" s="12">
        <f>CEILING(SUM($C$5:$C498)/($A$3/$B$3),1)</f>
        <v>8</v>
      </c>
      <c r="B498" s="6"/>
      <c r="C498" s="7"/>
      <c r="H498" s="13" t="str">
        <f>_xlfn.IFNA(TEXT(VLOOKUP(B498,Lookup!A495:B647,2,FALSE)*$E$1/440,"#.0#"),"")</f>
        <v/>
      </c>
      <c r="I498" s="14" t="str">
        <f t="shared" si="7"/>
        <v/>
      </c>
    </row>
    <row r="499" spans="1:9" x14ac:dyDescent="0.25">
      <c r="A499" s="12">
        <f>CEILING(SUM($C$5:$C499)/($A$3/$B$3),1)</f>
        <v>8</v>
      </c>
      <c r="B499" s="6"/>
      <c r="C499" s="7"/>
      <c r="H499" s="13" t="str">
        <f>_xlfn.IFNA(TEXT(VLOOKUP(B499,Lookup!A496:B648,2,FALSE)*$E$1/440,"#.0#"),"")</f>
        <v/>
      </c>
      <c r="I499" s="14" t="str">
        <f t="shared" si="7"/>
        <v/>
      </c>
    </row>
    <row r="500" spans="1:9" x14ac:dyDescent="0.25">
      <c r="A500" s="12">
        <f>CEILING(SUM($C$5:$C500)/($A$3/$B$3),1)</f>
        <v>8</v>
      </c>
      <c r="B500" s="6"/>
      <c r="C500" s="7"/>
      <c r="H500" s="13" t="str">
        <f>_xlfn.IFNA(TEXT(VLOOKUP(B500,Lookup!A497:B649,2,FALSE)*$E$1/440,"#.0#"),"")</f>
        <v/>
      </c>
      <c r="I500" s="14" t="str">
        <f t="shared" si="7"/>
        <v/>
      </c>
    </row>
    <row r="501" spans="1:9" x14ac:dyDescent="0.25">
      <c r="A501" s="12">
        <f>CEILING(SUM($C$5:$C501)/($A$3/$B$3),1)</f>
        <v>8</v>
      </c>
      <c r="B501" s="6"/>
      <c r="C501" s="7"/>
      <c r="H501" s="13" t="str">
        <f>_xlfn.IFNA(TEXT(VLOOKUP(B501,Lookup!A498:B650,2,FALSE)*$E$1/440,"#.0#"),"")</f>
        <v/>
      </c>
      <c r="I501" s="14" t="str">
        <f t="shared" si="7"/>
        <v/>
      </c>
    </row>
    <row r="502" spans="1:9" x14ac:dyDescent="0.25">
      <c r="A502" s="12">
        <f>CEILING(SUM($C$5:$C502)/($A$3/$B$3),1)</f>
        <v>8</v>
      </c>
      <c r="B502" s="6"/>
      <c r="C502" s="7"/>
      <c r="H502" s="13" t="str">
        <f>_xlfn.IFNA(TEXT(VLOOKUP(B502,Lookup!A499:B651,2,FALSE)*$E$1/440,"#.0#"),"")</f>
        <v/>
      </c>
      <c r="I502" s="14" t="str">
        <f t="shared" si="7"/>
        <v/>
      </c>
    </row>
    <row r="503" spans="1:9" x14ac:dyDescent="0.25">
      <c r="A503" s="12">
        <f>CEILING(SUM($C$5:$C503)/($A$3/$B$3),1)</f>
        <v>8</v>
      </c>
      <c r="B503" s="6"/>
      <c r="C503" s="7"/>
      <c r="H503" s="13" t="str">
        <f>_xlfn.IFNA(TEXT(VLOOKUP(B503,Lookup!A500:B652,2,FALSE)*$E$1/440,"#.0#"),"")</f>
        <v/>
      </c>
      <c r="I503" s="14" t="str">
        <f t="shared" si="7"/>
        <v/>
      </c>
    </row>
    <row r="504" spans="1:9" ht="15.75" thickBot="1" x14ac:dyDescent="0.3">
      <c r="A504" s="12">
        <f>CEILING(SUM($C$5:$C504)/($A$3/$B$3),1)</f>
        <v>8</v>
      </c>
      <c r="B504" s="8"/>
      <c r="C504" s="9"/>
      <c r="H504" s="13" t="str">
        <f>_xlfn.IFNA(TEXT(VLOOKUP(B504,Lookup!A501:B653,2,FALSE)*$E$1/440,"#.0#"),"")</f>
        <v/>
      </c>
      <c r="I504" s="14" t="str">
        <f t="shared" si="7"/>
        <v/>
      </c>
    </row>
    <row r="505" spans="1:9" x14ac:dyDescent="0.25">
      <c r="B505" s="10" t="s">
        <v>162</v>
      </c>
      <c r="C505" s="10" t="s">
        <v>162</v>
      </c>
    </row>
  </sheetData>
  <mergeCells count="3">
    <mergeCell ref="D4:F27"/>
    <mergeCell ref="A1:B1"/>
    <mergeCell ref="J1:Q1"/>
  </mergeCells>
  <phoneticPr fontId="2" type="noConversion"/>
  <conditionalFormatting sqref="A5:C504">
    <cfRule type="expression" dxfId="0" priority="1">
      <formula>MOD($A5,2)=0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33323-CC5A-4BEF-9F6C-980C682DE701}">
  <sheetPr codeName="Sheet2"/>
  <dimension ref="A1:B154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16.350000000000001</v>
      </c>
    </row>
    <row r="3" spans="1:2" x14ac:dyDescent="0.25">
      <c r="A3" t="s">
        <v>3</v>
      </c>
      <c r="B3">
        <v>17.32</v>
      </c>
    </row>
    <row r="4" spans="1:2" x14ac:dyDescent="0.25">
      <c r="A4" t="s">
        <v>4</v>
      </c>
      <c r="B4">
        <v>17.32</v>
      </c>
    </row>
    <row r="5" spans="1:2" x14ac:dyDescent="0.25">
      <c r="A5" t="s">
        <v>5</v>
      </c>
      <c r="B5">
        <v>18.350000000000001</v>
      </c>
    </row>
    <row r="6" spans="1:2" x14ac:dyDescent="0.25">
      <c r="A6" t="s">
        <v>6</v>
      </c>
      <c r="B6">
        <v>19.45</v>
      </c>
    </row>
    <row r="7" spans="1:2" x14ac:dyDescent="0.25">
      <c r="A7" t="s">
        <v>7</v>
      </c>
      <c r="B7">
        <v>19.45</v>
      </c>
    </row>
    <row r="8" spans="1:2" x14ac:dyDescent="0.25">
      <c r="A8" t="s">
        <v>8</v>
      </c>
      <c r="B8">
        <v>20.6</v>
      </c>
    </row>
    <row r="9" spans="1:2" x14ac:dyDescent="0.25">
      <c r="A9" t="s">
        <v>9</v>
      </c>
      <c r="B9">
        <v>21.83</v>
      </c>
    </row>
    <row r="10" spans="1:2" x14ac:dyDescent="0.25">
      <c r="A10" t="s">
        <v>10</v>
      </c>
      <c r="B10">
        <v>23.12</v>
      </c>
    </row>
    <row r="11" spans="1:2" x14ac:dyDescent="0.25">
      <c r="A11" t="s">
        <v>11</v>
      </c>
      <c r="B11">
        <v>23.12</v>
      </c>
    </row>
    <row r="12" spans="1:2" x14ac:dyDescent="0.25">
      <c r="A12" t="s">
        <v>12</v>
      </c>
      <c r="B12">
        <v>24.5</v>
      </c>
    </row>
    <row r="13" spans="1:2" x14ac:dyDescent="0.25">
      <c r="A13" t="s">
        <v>13</v>
      </c>
      <c r="B13">
        <v>25.96</v>
      </c>
    </row>
    <row r="14" spans="1:2" x14ac:dyDescent="0.25">
      <c r="A14" t="s">
        <v>14</v>
      </c>
      <c r="B14">
        <v>25.96</v>
      </c>
    </row>
    <row r="15" spans="1:2" x14ac:dyDescent="0.25">
      <c r="A15" t="s">
        <v>15</v>
      </c>
      <c r="B15">
        <v>27.5</v>
      </c>
    </row>
    <row r="16" spans="1:2" x14ac:dyDescent="0.25">
      <c r="A16" t="s">
        <v>16</v>
      </c>
      <c r="B16">
        <v>29.14</v>
      </c>
    </row>
    <row r="17" spans="1:2" x14ac:dyDescent="0.25">
      <c r="A17" t="s">
        <v>141</v>
      </c>
      <c r="B17">
        <v>29.14</v>
      </c>
    </row>
    <row r="18" spans="1:2" x14ac:dyDescent="0.25">
      <c r="A18" t="s">
        <v>142</v>
      </c>
      <c r="B18">
        <v>30.87</v>
      </c>
    </row>
    <row r="19" spans="1:2" x14ac:dyDescent="0.25">
      <c r="A19" t="s">
        <v>17</v>
      </c>
      <c r="B19">
        <v>32.700000000000003</v>
      </c>
    </row>
    <row r="20" spans="1:2" x14ac:dyDescent="0.25">
      <c r="A20" t="s">
        <v>18</v>
      </c>
      <c r="B20">
        <v>34.65</v>
      </c>
    </row>
    <row r="21" spans="1:2" x14ac:dyDescent="0.25">
      <c r="A21" t="s">
        <v>19</v>
      </c>
      <c r="B21">
        <v>34.65</v>
      </c>
    </row>
    <row r="22" spans="1:2" x14ac:dyDescent="0.25">
      <c r="A22" t="s">
        <v>20</v>
      </c>
      <c r="B22">
        <v>36.71</v>
      </c>
    </row>
    <row r="23" spans="1:2" x14ac:dyDescent="0.25">
      <c r="A23" t="s">
        <v>21</v>
      </c>
      <c r="B23">
        <v>38.89</v>
      </c>
    </row>
    <row r="24" spans="1:2" x14ac:dyDescent="0.25">
      <c r="A24" t="s">
        <v>22</v>
      </c>
      <c r="B24">
        <v>38.89</v>
      </c>
    </row>
    <row r="25" spans="1:2" x14ac:dyDescent="0.25">
      <c r="A25" t="s">
        <v>23</v>
      </c>
      <c r="B25">
        <v>41.2</v>
      </c>
    </row>
    <row r="26" spans="1:2" x14ac:dyDescent="0.25">
      <c r="A26" t="s">
        <v>24</v>
      </c>
      <c r="B26">
        <v>43.65</v>
      </c>
    </row>
    <row r="27" spans="1:2" x14ac:dyDescent="0.25">
      <c r="A27" t="s">
        <v>25</v>
      </c>
      <c r="B27">
        <v>46.25</v>
      </c>
    </row>
    <row r="28" spans="1:2" x14ac:dyDescent="0.25">
      <c r="A28" t="s">
        <v>26</v>
      </c>
      <c r="B28">
        <v>46.25</v>
      </c>
    </row>
    <row r="29" spans="1:2" x14ac:dyDescent="0.25">
      <c r="A29" t="s">
        <v>27</v>
      </c>
      <c r="B29">
        <v>49</v>
      </c>
    </row>
    <row r="30" spans="1:2" x14ac:dyDescent="0.25">
      <c r="A30" t="s">
        <v>28</v>
      </c>
      <c r="B30">
        <v>51.91</v>
      </c>
    </row>
    <row r="31" spans="1:2" x14ac:dyDescent="0.25">
      <c r="A31" t="s">
        <v>29</v>
      </c>
      <c r="B31">
        <v>51.91</v>
      </c>
    </row>
    <row r="32" spans="1:2" x14ac:dyDescent="0.25">
      <c r="A32" t="s">
        <v>30</v>
      </c>
      <c r="B32">
        <v>55</v>
      </c>
    </row>
    <row r="33" spans="1:2" x14ac:dyDescent="0.25">
      <c r="A33" t="s">
        <v>31</v>
      </c>
      <c r="B33">
        <v>58.27</v>
      </c>
    </row>
    <row r="34" spans="1:2" x14ac:dyDescent="0.25">
      <c r="A34" t="s">
        <v>143</v>
      </c>
      <c r="B34">
        <v>58.27</v>
      </c>
    </row>
    <row r="35" spans="1:2" x14ac:dyDescent="0.25">
      <c r="A35" t="s">
        <v>144</v>
      </c>
      <c r="B35">
        <v>61.74</v>
      </c>
    </row>
    <row r="36" spans="1:2" x14ac:dyDescent="0.25">
      <c r="A36" t="s">
        <v>32</v>
      </c>
      <c r="B36">
        <v>65.41</v>
      </c>
    </row>
    <row r="37" spans="1:2" x14ac:dyDescent="0.25">
      <c r="A37" t="s">
        <v>33</v>
      </c>
      <c r="B37">
        <v>69.3</v>
      </c>
    </row>
    <row r="38" spans="1:2" x14ac:dyDescent="0.25">
      <c r="A38" t="s">
        <v>34</v>
      </c>
      <c r="B38">
        <v>69.3</v>
      </c>
    </row>
    <row r="39" spans="1:2" x14ac:dyDescent="0.25">
      <c r="A39" t="s">
        <v>35</v>
      </c>
      <c r="B39">
        <v>73.42</v>
      </c>
    </row>
    <row r="40" spans="1:2" x14ac:dyDescent="0.25">
      <c r="A40" t="s">
        <v>36</v>
      </c>
      <c r="B40">
        <v>77.78</v>
      </c>
    </row>
    <row r="41" spans="1:2" x14ac:dyDescent="0.25">
      <c r="A41" t="s">
        <v>37</v>
      </c>
      <c r="B41">
        <v>77.78</v>
      </c>
    </row>
    <row r="42" spans="1:2" x14ac:dyDescent="0.25">
      <c r="A42" t="s">
        <v>38</v>
      </c>
      <c r="B42">
        <v>82.41</v>
      </c>
    </row>
    <row r="43" spans="1:2" x14ac:dyDescent="0.25">
      <c r="A43" t="s">
        <v>39</v>
      </c>
      <c r="B43">
        <v>87.31</v>
      </c>
    </row>
    <row r="44" spans="1:2" x14ac:dyDescent="0.25">
      <c r="A44" t="s">
        <v>40</v>
      </c>
      <c r="B44">
        <v>92.5</v>
      </c>
    </row>
    <row r="45" spans="1:2" x14ac:dyDescent="0.25">
      <c r="A45" t="s">
        <v>41</v>
      </c>
      <c r="B45">
        <v>92.5</v>
      </c>
    </row>
    <row r="46" spans="1:2" x14ac:dyDescent="0.25">
      <c r="A46" t="s">
        <v>42</v>
      </c>
      <c r="B46">
        <v>98</v>
      </c>
    </row>
    <row r="47" spans="1:2" x14ac:dyDescent="0.25">
      <c r="A47" t="s">
        <v>43</v>
      </c>
      <c r="B47">
        <v>103.83</v>
      </c>
    </row>
    <row r="48" spans="1:2" x14ac:dyDescent="0.25">
      <c r="A48" t="s">
        <v>44</v>
      </c>
      <c r="B48">
        <v>103.83</v>
      </c>
    </row>
    <row r="49" spans="1:2" x14ac:dyDescent="0.25">
      <c r="A49" t="s">
        <v>45</v>
      </c>
      <c r="B49">
        <v>110</v>
      </c>
    </row>
    <row r="50" spans="1:2" x14ac:dyDescent="0.25">
      <c r="A50" t="s">
        <v>46</v>
      </c>
      <c r="B50">
        <v>116.54</v>
      </c>
    </row>
    <row r="51" spans="1:2" x14ac:dyDescent="0.25">
      <c r="A51" t="s">
        <v>145</v>
      </c>
      <c r="B51">
        <v>116.54</v>
      </c>
    </row>
    <row r="52" spans="1:2" x14ac:dyDescent="0.25">
      <c r="A52" t="s">
        <v>146</v>
      </c>
      <c r="B52">
        <v>123.47</v>
      </c>
    </row>
    <row r="53" spans="1:2" x14ac:dyDescent="0.25">
      <c r="A53" t="s">
        <v>47</v>
      </c>
      <c r="B53">
        <v>130.81</v>
      </c>
    </row>
    <row r="54" spans="1:2" x14ac:dyDescent="0.25">
      <c r="A54" t="s">
        <v>48</v>
      </c>
      <c r="B54">
        <v>138.59</v>
      </c>
    </row>
    <row r="55" spans="1:2" x14ac:dyDescent="0.25">
      <c r="A55" t="s">
        <v>49</v>
      </c>
      <c r="B55">
        <v>138.59</v>
      </c>
    </row>
    <row r="56" spans="1:2" x14ac:dyDescent="0.25">
      <c r="A56" t="s">
        <v>50</v>
      </c>
      <c r="B56">
        <v>146.83000000000001</v>
      </c>
    </row>
    <row r="57" spans="1:2" x14ac:dyDescent="0.25">
      <c r="A57" t="s">
        <v>51</v>
      </c>
      <c r="B57">
        <v>155.56</v>
      </c>
    </row>
    <row r="58" spans="1:2" x14ac:dyDescent="0.25">
      <c r="A58" t="s">
        <v>52</v>
      </c>
      <c r="B58">
        <v>155.56</v>
      </c>
    </row>
    <row r="59" spans="1:2" x14ac:dyDescent="0.25">
      <c r="A59" t="s">
        <v>53</v>
      </c>
      <c r="B59">
        <v>164.81</v>
      </c>
    </row>
    <row r="60" spans="1:2" x14ac:dyDescent="0.25">
      <c r="A60" t="s">
        <v>54</v>
      </c>
      <c r="B60">
        <v>174.61</v>
      </c>
    </row>
    <row r="61" spans="1:2" x14ac:dyDescent="0.25">
      <c r="A61" t="s">
        <v>55</v>
      </c>
      <c r="B61">
        <v>185</v>
      </c>
    </row>
    <row r="62" spans="1:2" x14ac:dyDescent="0.25">
      <c r="A62" t="s">
        <v>56</v>
      </c>
      <c r="B62">
        <v>185</v>
      </c>
    </row>
    <row r="63" spans="1:2" x14ac:dyDescent="0.25">
      <c r="A63" t="s">
        <v>57</v>
      </c>
      <c r="B63">
        <v>196</v>
      </c>
    </row>
    <row r="64" spans="1:2" x14ac:dyDescent="0.25">
      <c r="A64" t="s">
        <v>58</v>
      </c>
      <c r="B64">
        <v>207.65</v>
      </c>
    </row>
    <row r="65" spans="1:2" x14ac:dyDescent="0.25">
      <c r="A65" t="s">
        <v>59</v>
      </c>
      <c r="B65">
        <v>207.65</v>
      </c>
    </row>
    <row r="66" spans="1:2" x14ac:dyDescent="0.25">
      <c r="A66" t="s">
        <v>60</v>
      </c>
      <c r="B66">
        <v>220</v>
      </c>
    </row>
    <row r="67" spans="1:2" x14ac:dyDescent="0.25">
      <c r="A67" t="s">
        <v>61</v>
      </c>
      <c r="B67">
        <v>233.08</v>
      </c>
    </row>
    <row r="68" spans="1:2" x14ac:dyDescent="0.25">
      <c r="A68" t="s">
        <v>147</v>
      </c>
      <c r="B68">
        <v>233.08</v>
      </c>
    </row>
    <row r="69" spans="1:2" x14ac:dyDescent="0.25">
      <c r="A69" t="s">
        <v>148</v>
      </c>
      <c r="B69">
        <v>246.94</v>
      </c>
    </row>
    <row r="70" spans="1:2" x14ac:dyDescent="0.25">
      <c r="A70" t="s">
        <v>62</v>
      </c>
      <c r="B70">
        <v>261.63</v>
      </c>
    </row>
    <row r="71" spans="1:2" x14ac:dyDescent="0.25">
      <c r="A71" t="s">
        <v>63</v>
      </c>
      <c r="B71">
        <v>277.18</v>
      </c>
    </row>
    <row r="72" spans="1:2" x14ac:dyDescent="0.25">
      <c r="A72" t="s">
        <v>64</v>
      </c>
      <c r="B72">
        <v>277.18</v>
      </c>
    </row>
    <row r="73" spans="1:2" x14ac:dyDescent="0.25">
      <c r="A73" t="s">
        <v>65</v>
      </c>
      <c r="B73">
        <v>293.66000000000003</v>
      </c>
    </row>
    <row r="74" spans="1:2" x14ac:dyDescent="0.25">
      <c r="A74" t="s">
        <v>66</v>
      </c>
      <c r="B74">
        <v>311.13</v>
      </c>
    </row>
    <row r="75" spans="1:2" x14ac:dyDescent="0.25">
      <c r="A75" t="s">
        <v>67</v>
      </c>
      <c r="B75">
        <v>311.13</v>
      </c>
    </row>
    <row r="76" spans="1:2" x14ac:dyDescent="0.25">
      <c r="A76" t="s">
        <v>68</v>
      </c>
      <c r="B76">
        <v>329.63</v>
      </c>
    </row>
    <row r="77" spans="1:2" x14ac:dyDescent="0.25">
      <c r="A77" t="s">
        <v>69</v>
      </c>
      <c r="B77">
        <v>349.23</v>
      </c>
    </row>
    <row r="78" spans="1:2" x14ac:dyDescent="0.25">
      <c r="A78" t="s">
        <v>70</v>
      </c>
      <c r="B78">
        <v>369.99</v>
      </c>
    </row>
    <row r="79" spans="1:2" x14ac:dyDescent="0.25">
      <c r="A79" t="s">
        <v>71</v>
      </c>
      <c r="B79">
        <v>369.99</v>
      </c>
    </row>
    <row r="80" spans="1:2" x14ac:dyDescent="0.25">
      <c r="A80" t="s">
        <v>72</v>
      </c>
      <c r="B80">
        <v>392</v>
      </c>
    </row>
    <row r="81" spans="1:2" x14ac:dyDescent="0.25">
      <c r="A81" t="s">
        <v>73</v>
      </c>
      <c r="B81">
        <v>415.3</v>
      </c>
    </row>
    <row r="82" spans="1:2" x14ac:dyDescent="0.25">
      <c r="A82" t="s">
        <v>74</v>
      </c>
      <c r="B82">
        <v>415.3</v>
      </c>
    </row>
    <row r="83" spans="1:2" x14ac:dyDescent="0.25">
      <c r="A83" t="s">
        <v>75</v>
      </c>
      <c r="B83">
        <v>440</v>
      </c>
    </row>
    <row r="84" spans="1:2" x14ac:dyDescent="0.25">
      <c r="A84" t="s">
        <v>76</v>
      </c>
      <c r="B84">
        <v>466.16</v>
      </c>
    </row>
    <row r="85" spans="1:2" x14ac:dyDescent="0.25">
      <c r="A85" t="s">
        <v>149</v>
      </c>
      <c r="B85">
        <v>466.16</v>
      </c>
    </row>
    <row r="86" spans="1:2" x14ac:dyDescent="0.25">
      <c r="A86" t="s">
        <v>150</v>
      </c>
      <c r="B86">
        <v>493.88</v>
      </c>
    </row>
    <row r="87" spans="1:2" x14ac:dyDescent="0.25">
      <c r="A87" t="s">
        <v>77</v>
      </c>
      <c r="B87">
        <v>523.25</v>
      </c>
    </row>
    <row r="88" spans="1:2" x14ac:dyDescent="0.25">
      <c r="A88" t="s">
        <v>78</v>
      </c>
      <c r="B88">
        <v>554.37</v>
      </c>
    </row>
    <row r="89" spans="1:2" x14ac:dyDescent="0.25">
      <c r="A89" t="s">
        <v>79</v>
      </c>
      <c r="B89">
        <v>554.37</v>
      </c>
    </row>
    <row r="90" spans="1:2" x14ac:dyDescent="0.25">
      <c r="A90" t="s">
        <v>80</v>
      </c>
      <c r="B90">
        <v>587.33000000000004</v>
      </c>
    </row>
    <row r="91" spans="1:2" x14ac:dyDescent="0.25">
      <c r="A91" t="s">
        <v>81</v>
      </c>
      <c r="B91">
        <v>622.25</v>
      </c>
    </row>
    <row r="92" spans="1:2" x14ac:dyDescent="0.25">
      <c r="A92" t="s">
        <v>82</v>
      </c>
      <c r="B92">
        <v>622.25</v>
      </c>
    </row>
    <row r="93" spans="1:2" x14ac:dyDescent="0.25">
      <c r="A93" t="s">
        <v>83</v>
      </c>
      <c r="B93">
        <v>659.25</v>
      </c>
    </row>
    <row r="94" spans="1:2" x14ac:dyDescent="0.25">
      <c r="A94" t="s">
        <v>84</v>
      </c>
      <c r="B94">
        <v>698.46</v>
      </c>
    </row>
    <row r="95" spans="1:2" x14ac:dyDescent="0.25">
      <c r="A95" t="s">
        <v>85</v>
      </c>
      <c r="B95">
        <v>739.99</v>
      </c>
    </row>
    <row r="96" spans="1:2" x14ac:dyDescent="0.25">
      <c r="A96" t="s">
        <v>86</v>
      </c>
      <c r="B96">
        <v>739.99</v>
      </c>
    </row>
    <row r="97" spans="1:2" x14ac:dyDescent="0.25">
      <c r="A97" t="s">
        <v>87</v>
      </c>
      <c r="B97">
        <v>783.99</v>
      </c>
    </row>
    <row r="98" spans="1:2" x14ac:dyDescent="0.25">
      <c r="A98" t="s">
        <v>88</v>
      </c>
      <c r="B98">
        <v>830.61</v>
      </c>
    </row>
    <row r="99" spans="1:2" x14ac:dyDescent="0.25">
      <c r="A99" t="s">
        <v>89</v>
      </c>
      <c r="B99">
        <v>830.61</v>
      </c>
    </row>
    <row r="100" spans="1:2" x14ac:dyDescent="0.25">
      <c r="A100" t="s">
        <v>90</v>
      </c>
      <c r="B100">
        <v>880</v>
      </c>
    </row>
    <row r="101" spans="1:2" x14ac:dyDescent="0.25">
      <c r="A101" t="s">
        <v>91</v>
      </c>
      <c r="B101">
        <v>932.33</v>
      </c>
    </row>
    <row r="102" spans="1:2" x14ac:dyDescent="0.25">
      <c r="A102" t="s">
        <v>151</v>
      </c>
      <c r="B102">
        <v>932.33</v>
      </c>
    </row>
    <row r="103" spans="1:2" x14ac:dyDescent="0.25">
      <c r="A103" t="s">
        <v>152</v>
      </c>
      <c r="B103">
        <v>987.77</v>
      </c>
    </row>
    <row r="104" spans="1:2" x14ac:dyDescent="0.25">
      <c r="A104" t="s">
        <v>92</v>
      </c>
      <c r="B104">
        <v>1046.5</v>
      </c>
    </row>
    <row r="105" spans="1:2" x14ac:dyDescent="0.25">
      <c r="A105" t="s">
        <v>93</v>
      </c>
      <c r="B105">
        <v>1108.73</v>
      </c>
    </row>
    <row r="106" spans="1:2" x14ac:dyDescent="0.25">
      <c r="A106" t="s">
        <v>94</v>
      </c>
      <c r="B106">
        <v>1108.73</v>
      </c>
    </row>
    <row r="107" spans="1:2" x14ac:dyDescent="0.25">
      <c r="A107" t="s">
        <v>95</v>
      </c>
      <c r="B107">
        <v>1174.6600000000001</v>
      </c>
    </row>
    <row r="108" spans="1:2" x14ac:dyDescent="0.25">
      <c r="A108" t="s">
        <v>96</v>
      </c>
      <c r="B108">
        <v>1244.51</v>
      </c>
    </row>
    <row r="109" spans="1:2" x14ac:dyDescent="0.25">
      <c r="A109" t="s">
        <v>97</v>
      </c>
      <c r="B109">
        <v>1244.51</v>
      </c>
    </row>
    <row r="110" spans="1:2" x14ac:dyDescent="0.25">
      <c r="A110" t="s">
        <v>98</v>
      </c>
      <c r="B110">
        <v>1318.51</v>
      </c>
    </row>
    <row r="111" spans="1:2" x14ac:dyDescent="0.25">
      <c r="A111" t="s">
        <v>99</v>
      </c>
      <c r="B111">
        <v>1396.91</v>
      </c>
    </row>
    <row r="112" spans="1:2" x14ac:dyDescent="0.25">
      <c r="A112" t="s">
        <v>100</v>
      </c>
      <c r="B112">
        <v>1479.98</v>
      </c>
    </row>
    <row r="113" spans="1:2" x14ac:dyDescent="0.25">
      <c r="A113" t="s">
        <v>101</v>
      </c>
      <c r="B113">
        <v>1479.98</v>
      </c>
    </row>
    <row r="114" spans="1:2" x14ac:dyDescent="0.25">
      <c r="A114" t="s">
        <v>102</v>
      </c>
      <c r="B114">
        <v>1567.98</v>
      </c>
    </row>
    <row r="115" spans="1:2" x14ac:dyDescent="0.25">
      <c r="A115" t="s">
        <v>103</v>
      </c>
      <c r="B115">
        <v>1661.22</v>
      </c>
    </row>
    <row r="116" spans="1:2" x14ac:dyDescent="0.25">
      <c r="A116" t="s">
        <v>104</v>
      </c>
      <c r="B116">
        <v>1661.22</v>
      </c>
    </row>
    <row r="117" spans="1:2" x14ac:dyDescent="0.25">
      <c r="A117" t="s">
        <v>105</v>
      </c>
      <c r="B117">
        <v>1760</v>
      </c>
    </row>
    <row r="118" spans="1:2" x14ac:dyDescent="0.25">
      <c r="A118" t="s">
        <v>106</v>
      </c>
      <c r="B118">
        <v>1864.66</v>
      </c>
    </row>
    <row r="119" spans="1:2" x14ac:dyDescent="0.25">
      <c r="A119" t="s">
        <v>153</v>
      </c>
      <c r="B119">
        <v>1864.66</v>
      </c>
    </row>
    <row r="120" spans="1:2" x14ac:dyDescent="0.25">
      <c r="A120" t="s">
        <v>154</v>
      </c>
      <c r="B120">
        <v>1975.53</v>
      </c>
    </row>
    <row r="121" spans="1:2" x14ac:dyDescent="0.25">
      <c r="A121" t="s">
        <v>107</v>
      </c>
      <c r="B121">
        <v>2093</v>
      </c>
    </row>
    <row r="122" spans="1:2" x14ac:dyDescent="0.25">
      <c r="A122" t="s">
        <v>108</v>
      </c>
      <c r="B122">
        <v>2217.46</v>
      </c>
    </row>
    <row r="123" spans="1:2" x14ac:dyDescent="0.25">
      <c r="A123" t="s">
        <v>109</v>
      </c>
      <c r="B123">
        <v>2217.46</v>
      </c>
    </row>
    <row r="124" spans="1:2" x14ac:dyDescent="0.25">
      <c r="A124" t="s">
        <v>110</v>
      </c>
      <c r="B124">
        <v>2349.3200000000002</v>
      </c>
    </row>
    <row r="125" spans="1:2" x14ac:dyDescent="0.25">
      <c r="A125" t="s">
        <v>111</v>
      </c>
      <c r="B125">
        <v>2489.02</v>
      </c>
    </row>
    <row r="126" spans="1:2" x14ac:dyDescent="0.25">
      <c r="A126" t="s">
        <v>112</v>
      </c>
      <c r="B126">
        <v>2489.02</v>
      </c>
    </row>
    <row r="127" spans="1:2" x14ac:dyDescent="0.25">
      <c r="A127" t="s">
        <v>113</v>
      </c>
      <c r="B127">
        <v>2637.02</v>
      </c>
    </row>
    <row r="128" spans="1:2" x14ac:dyDescent="0.25">
      <c r="A128" t="s">
        <v>114</v>
      </c>
      <c r="B128">
        <v>2793.83</v>
      </c>
    </row>
    <row r="129" spans="1:2" x14ac:dyDescent="0.25">
      <c r="A129" t="s">
        <v>115</v>
      </c>
      <c r="B129">
        <v>2959.96</v>
      </c>
    </row>
    <row r="130" spans="1:2" x14ac:dyDescent="0.25">
      <c r="A130" t="s">
        <v>116</v>
      </c>
      <c r="B130">
        <v>2959.96</v>
      </c>
    </row>
    <row r="131" spans="1:2" x14ac:dyDescent="0.25">
      <c r="A131" t="s">
        <v>117</v>
      </c>
      <c r="B131">
        <v>3135.96</v>
      </c>
    </row>
    <row r="132" spans="1:2" x14ac:dyDescent="0.25">
      <c r="A132" t="s">
        <v>118</v>
      </c>
      <c r="B132">
        <v>3322.44</v>
      </c>
    </row>
    <row r="133" spans="1:2" x14ac:dyDescent="0.25">
      <c r="A133" t="s">
        <v>119</v>
      </c>
      <c r="B133">
        <v>3322.44</v>
      </c>
    </row>
    <row r="134" spans="1:2" x14ac:dyDescent="0.25">
      <c r="A134" t="s">
        <v>120</v>
      </c>
      <c r="B134">
        <v>3520</v>
      </c>
    </row>
    <row r="135" spans="1:2" x14ac:dyDescent="0.25">
      <c r="A135" t="s">
        <v>121</v>
      </c>
      <c r="B135">
        <v>3729.31</v>
      </c>
    </row>
    <row r="136" spans="1:2" x14ac:dyDescent="0.25">
      <c r="A136" t="s">
        <v>155</v>
      </c>
      <c r="B136">
        <v>3729.31</v>
      </c>
    </row>
    <row r="137" spans="1:2" x14ac:dyDescent="0.25">
      <c r="A137" t="s">
        <v>156</v>
      </c>
      <c r="B137">
        <v>3951.07</v>
      </c>
    </row>
    <row r="138" spans="1:2" x14ac:dyDescent="0.25">
      <c r="A138" t="s">
        <v>122</v>
      </c>
      <c r="B138">
        <v>4186.01</v>
      </c>
    </row>
    <row r="139" spans="1:2" x14ac:dyDescent="0.25">
      <c r="A139" t="s">
        <v>123</v>
      </c>
      <c r="B139">
        <v>4434.92</v>
      </c>
    </row>
    <row r="140" spans="1:2" x14ac:dyDescent="0.25">
      <c r="A140" t="s">
        <v>124</v>
      </c>
      <c r="B140">
        <v>4434.92</v>
      </c>
    </row>
    <row r="141" spans="1:2" x14ac:dyDescent="0.25">
      <c r="A141" t="s">
        <v>125</v>
      </c>
      <c r="B141">
        <v>4698.63</v>
      </c>
    </row>
    <row r="142" spans="1:2" x14ac:dyDescent="0.25">
      <c r="A142" t="s">
        <v>126</v>
      </c>
      <c r="B142">
        <v>4978.03</v>
      </c>
    </row>
    <row r="143" spans="1:2" x14ac:dyDescent="0.25">
      <c r="A143" t="s">
        <v>127</v>
      </c>
      <c r="B143">
        <v>4978.03</v>
      </c>
    </row>
    <row r="144" spans="1:2" x14ac:dyDescent="0.25">
      <c r="A144" t="s">
        <v>128</v>
      </c>
      <c r="B144">
        <v>5274.04</v>
      </c>
    </row>
    <row r="145" spans="1:2" x14ac:dyDescent="0.25">
      <c r="A145" t="s">
        <v>129</v>
      </c>
      <c r="B145">
        <v>5587.65</v>
      </c>
    </row>
    <row r="146" spans="1:2" x14ac:dyDescent="0.25">
      <c r="A146" t="s">
        <v>130</v>
      </c>
      <c r="B146">
        <v>5919.91</v>
      </c>
    </row>
    <row r="147" spans="1:2" x14ac:dyDescent="0.25">
      <c r="A147" t="s">
        <v>131</v>
      </c>
      <c r="B147">
        <v>5919.91</v>
      </c>
    </row>
    <row r="148" spans="1:2" x14ac:dyDescent="0.25">
      <c r="A148" t="s">
        <v>132</v>
      </c>
      <c r="B148">
        <v>6271.93</v>
      </c>
    </row>
    <row r="149" spans="1:2" x14ac:dyDescent="0.25">
      <c r="A149" t="s">
        <v>133</v>
      </c>
      <c r="B149">
        <v>6644.88</v>
      </c>
    </row>
    <row r="150" spans="1:2" x14ac:dyDescent="0.25">
      <c r="A150" t="s">
        <v>134</v>
      </c>
      <c r="B150">
        <v>6644.88</v>
      </c>
    </row>
    <row r="151" spans="1:2" x14ac:dyDescent="0.25">
      <c r="A151" t="s">
        <v>135</v>
      </c>
      <c r="B151">
        <v>7040</v>
      </c>
    </row>
    <row r="152" spans="1:2" x14ac:dyDescent="0.25">
      <c r="A152" t="s">
        <v>136</v>
      </c>
      <c r="B152">
        <v>7458.62</v>
      </c>
    </row>
    <row r="153" spans="1:2" x14ac:dyDescent="0.25">
      <c r="A153" t="s">
        <v>157</v>
      </c>
      <c r="B153">
        <v>7458.62</v>
      </c>
    </row>
    <row r="154" spans="1:2" x14ac:dyDescent="0.25">
      <c r="A154" t="s">
        <v>158</v>
      </c>
      <c r="B154">
        <v>7902.13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Entry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Hecht</dc:creator>
  <cp:lastModifiedBy>Zan Hecht</cp:lastModifiedBy>
  <dcterms:created xsi:type="dcterms:W3CDTF">2023-02-16T02:35:07Z</dcterms:created>
  <dcterms:modified xsi:type="dcterms:W3CDTF">2023-02-16T05:30:15Z</dcterms:modified>
</cp:coreProperties>
</file>